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토 안내" sheetId="1" state="visible" r:id="rId1"/>
    <sheet xmlns:r="http://schemas.openxmlformats.org/officeDocument/2006/relationships" name="청렴 40" sheetId="2" state="visible" r:id="rId2"/>
    <sheet xmlns:r="http://schemas.openxmlformats.org/officeDocument/2006/relationships" name="적극행정 35" sheetId="3" state="visible" r:id="rId3"/>
    <sheet xmlns:r="http://schemas.openxmlformats.org/officeDocument/2006/relationships" name="안전 72" sheetId="4" state="visible" r:id="rId4"/>
  </sheets>
  <definedNames>
    <definedName name="_xlnm._FilterDatabase" localSheetId="1" hidden="1">'청렴 40'!$A$4:$M$44</definedName>
    <definedName name="_xlnm._FilterDatabase" localSheetId="2" hidden="1">'적극행정 35'!$A$4:$M$39</definedName>
    <definedName name="_xlnm._FilterDatabase" localSheetId="3" hidden="1">'안전 72'!$A$4:$M$76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Calibri"/>
      <family val="2"/>
      <color theme="1"/>
      <sz val="11"/>
      <scheme val="minor"/>
    </font>
    <font>
      <name val="맑은 고딕"/>
      <b val="1"/>
      <color rgb="001A2230"/>
      <sz val="18"/>
    </font>
    <font>
      <name val="맑은 고딕"/>
      <color rgb="006B7688"/>
      <sz val="11"/>
    </font>
    <font>
      <name val="맑은 고딕"/>
      <b val="1"/>
      <color rgb="001A2230"/>
      <sz val="13"/>
    </font>
    <font>
      <name val="맑은 고딕"/>
      <color rgb="001A2230"/>
      <sz val="11"/>
    </font>
    <font>
      <name val="맑은 고딕"/>
      <b val="1"/>
      <color rgb="00FFFFFF"/>
      <sz val="10"/>
    </font>
    <font>
      <name val="맑은 고딕"/>
      <b val="1"/>
      <color rgb="00B45309"/>
      <sz val="10.5"/>
    </font>
    <font>
      <name val="맑은 고딕"/>
      <color rgb="001A2230"/>
      <sz val="10.5"/>
    </font>
    <font>
      <name val="맑은 고딕"/>
      <b val="1"/>
      <color rgb="000E7490"/>
      <sz val="10.5"/>
    </font>
    <font>
      <name val="맑은 고딕"/>
      <b val="1"/>
      <color rgb="006D28D9"/>
      <sz val="10.5"/>
    </font>
    <font>
      <name val="맑은 고딕"/>
      <b val="1"/>
      <sz val="10.5"/>
    </font>
    <font>
      <name val="맑은 고딕"/>
      <b val="1"/>
      <color rgb="000E7490"/>
      <sz val="14"/>
    </font>
    <font>
      <name val="맑은 고딕"/>
      <color rgb="006B7688"/>
      <sz val="10"/>
    </font>
    <font>
      <name val="맑은 고딕"/>
      <b val="1"/>
      <color rgb="000E7490"/>
      <sz val="11"/>
    </font>
    <font>
      <name val="맑은 고딕"/>
      <b val="1"/>
      <color rgb="001A2230"/>
      <sz val="10"/>
    </font>
    <font>
      <name val="맑은 고딕"/>
      <b val="1"/>
      <color rgb="000E7490"/>
      <sz val="10"/>
    </font>
    <font>
      <name val="맑은 고딕"/>
      <color rgb="001A2230"/>
      <sz val="10"/>
    </font>
    <font>
      <name val="맑은 고딕"/>
      <color rgb="006B7688"/>
      <sz val="9"/>
    </font>
    <font>
      <name val="맑은 고딕"/>
      <b val="1"/>
      <color rgb="006D28D9"/>
      <sz val="14"/>
    </font>
    <font>
      <name val="맑은 고딕"/>
      <b val="1"/>
      <color rgb="006D28D9"/>
      <sz val="11"/>
    </font>
    <font>
      <name val="맑은 고딕"/>
      <b val="1"/>
      <color rgb="006D28D9"/>
      <sz val="10"/>
    </font>
    <font>
      <name val="맑은 고딕"/>
      <b val="1"/>
      <color rgb="00B45309"/>
      <sz val="14"/>
    </font>
    <font>
      <name val="맑은 고딕"/>
      <b val="1"/>
      <color rgb="00B45309"/>
      <sz val="11"/>
    </font>
    <font>
      <name val="맑은 고딕"/>
      <b val="1"/>
      <color rgb="00B45309"/>
      <sz val="10"/>
    </font>
  </fonts>
  <fills count="11">
    <fill>
      <patternFill/>
    </fill>
    <fill>
      <patternFill patternType="gray125"/>
    </fill>
    <fill>
      <patternFill patternType="solid">
        <fgColor rgb="001A2230"/>
      </patternFill>
    </fill>
    <fill>
      <patternFill patternType="solid">
        <fgColor rgb="00FDF2E4"/>
      </patternFill>
    </fill>
    <fill>
      <patternFill patternType="solid">
        <fgColor rgb="00E5F4F7"/>
      </patternFill>
    </fill>
    <fill>
      <patternFill patternType="solid">
        <fgColor rgb="00F0EAFB"/>
      </patternFill>
    </fill>
    <fill>
      <patternFill patternType="solid">
        <fgColor rgb="000E7490"/>
      </patternFill>
    </fill>
    <fill>
      <patternFill patternType="solid">
        <fgColor rgb="00FFF9DB"/>
      </patternFill>
    </fill>
    <fill>
      <patternFill patternType="solid">
        <fgColor rgb="00FFFFFF"/>
      </patternFill>
    </fill>
    <fill>
      <patternFill patternType="solid">
        <fgColor rgb="006D28D9"/>
      </patternFill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11" fillId="0" borderId="0" pivotButton="0" quotePrefix="0" xfId="0"/>
    <xf numFmtId="0" fontId="13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vertical="center" wrapText="1"/>
    </xf>
    <xf numFmtId="0" fontId="17" fillId="4" borderId="1" applyAlignment="1" pivotButton="0" quotePrefix="0" xfId="0">
      <alignment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vertical="center" wrapText="1"/>
    </xf>
    <xf numFmtId="0" fontId="17" fillId="8" borderId="1" applyAlignment="1" pivotButton="0" quotePrefix="0" xfId="0">
      <alignment vertical="center" wrapText="1"/>
    </xf>
    <xf numFmtId="0" fontId="18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vertical="center" wrapText="1"/>
    </xf>
    <xf numFmtId="0" fontId="17" fillId="5" borderId="1" applyAlignment="1" pivotButton="0" quotePrefix="0" xfId="0">
      <alignment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0" borderId="0" pivotButton="0" quotePrefix="0" xfId="0"/>
    <xf numFmtId="0" fontId="22" fillId="0" borderId="0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vertical="center" wrapText="1"/>
    </xf>
    <xf numFmtId="0" fontId="17" fillId="3" borderId="1" applyAlignment="1" pivotButton="0" quotePrefix="0" xfId="0">
      <alignment vertical="center" wrapText="1"/>
    </xf>
    <xf numFmtId="0" fontId="2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96" customWidth="1" min="3" max="3"/>
    <col width="12" customWidth="1" min="4" max="4"/>
    <col width="10" customWidth="1" min="5" max="5"/>
    <col width="40" customWidth="1" min="6" max="6"/>
  </cols>
  <sheetData>
    <row r="2">
      <c r="B2" s="1" t="inlineStr">
        <is>
          <t>안전 골든벨 문항 검토</t>
        </is>
      </c>
    </row>
    <row r="3">
      <c r="B3" s="2" t="inlineStr">
        <is>
          <t>안전 · 청렴 · 적극행정 후보 147개 검토용</t>
        </is>
      </c>
    </row>
    <row r="5">
      <c r="B5" s="3" t="inlineStr">
        <is>
          <t>검토 방법</t>
        </is>
      </c>
    </row>
    <row r="6" ht="34" customHeight="1">
      <c r="B6" s="4" t="inlineStr">
        <is>
          <t>채택 열</t>
        </is>
      </c>
      <c r="C6" s="4" t="inlineStr">
        <is>
          <t>각 시트의 L열에서 채택 / 보류 / 제외 를 고르시면 됩니다. 목록에서 선택할 수 있습니다.</t>
        </is>
      </c>
    </row>
    <row r="7" ht="34" customHeight="1">
      <c r="B7" s="4" t="inlineStr">
        <is>
          <t>검토 의견 열</t>
        </is>
      </c>
      <c r="C7" s="4" t="inlineStr">
        <is>
          <t>M열에 수정이 필요한 부분이나 의견을 적어 주십시오. 문항 표현, 정답 적절성, 근거 정확성 무엇이든 좋습니다.</t>
        </is>
      </c>
    </row>
    <row r="8" ht="34" customHeight="1">
      <c r="B8" s="4" t="inlineStr">
        <is>
          <t>정답 표시</t>
        </is>
      </c>
      <c r="C8" s="4" t="inlineStr">
        <is>
          <t>선택지 열에서 정답에는 ✔ 표시가 있고, 정답 열에 번호로도 적혀 있습니다.</t>
        </is>
      </c>
    </row>
    <row r="10">
      <c r="B10" s="3" t="inlineStr">
        <is>
          <t>무엇을 고르는가</t>
        </is>
      </c>
    </row>
    <row r="11" ht="48" customHeight="1">
      <c r="B11" s="4" t="inlineStr"/>
      <c r="C11" s="4" t="inlineStr">
        <is>
          <t>현재 문항은 전부 안전 주제입니다. 여기에 청렴과 적극행정을 넣되, 안전 비중을 40% 정도로 유지하려 합니다. 회차당 12문항 × 6회차 = 총 72문항이며, 아래 배분이 기본안입니다.</t>
        </is>
      </c>
    </row>
    <row r="13">
      <c r="B13" s="5" t="inlineStr">
        <is>
          <t>주제</t>
        </is>
      </c>
      <c r="C13" s="5" t="inlineStr">
        <is>
          <t>후보 수</t>
        </is>
      </c>
      <c r="D13" s="5" t="inlineStr">
        <is>
          <t>채택 목표</t>
        </is>
      </c>
      <c r="E13" s="5" t="inlineStr">
        <is>
          <t>비중</t>
        </is>
      </c>
      <c r="F13" s="5" t="inlineStr">
        <is>
          <t>비고</t>
        </is>
      </c>
    </row>
    <row r="14">
      <c r="B14" s="6" t="inlineStr">
        <is>
          <t>안전</t>
        </is>
      </c>
      <c r="C14" s="7" t="n">
        <v>72</v>
      </c>
      <c r="D14" s="7" t="n">
        <v>30</v>
      </c>
      <c r="E14" s="8" t="n">
        <v>0.4166666666666667</v>
      </c>
      <c r="F14" s="9" t="inlineStr">
        <is>
          <t>안전 시트에서 남길 문항을 고릅니다</t>
        </is>
      </c>
    </row>
    <row r="15">
      <c r="B15" s="10" t="inlineStr">
        <is>
          <t>청렴</t>
        </is>
      </c>
      <c r="C15" s="11" t="n">
        <v>40</v>
      </c>
      <c r="D15" s="11" t="n">
        <v>24</v>
      </c>
      <c r="E15" s="12" t="n">
        <v>0.3333333333333333</v>
      </c>
      <c r="F15" s="13" t="inlineStr">
        <is>
          <t>신규 후보입니다</t>
        </is>
      </c>
    </row>
    <row r="16">
      <c r="B16" s="14" t="inlineStr">
        <is>
          <t>적극행정</t>
        </is>
      </c>
      <c r="C16" s="15" t="n">
        <v>35</v>
      </c>
      <c r="D16" s="15" t="n">
        <v>18</v>
      </c>
      <c r="E16" s="16" t="n">
        <v>0.25</v>
      </c>
      <c r="F16" s="17" t="inlineStr">
        <is>
          <t>신규 후보입니다</t>
        </is>
      </c>
    </row>
    <row r="17">
      <c r="B17" s="18" t="inlineStr">
        <is>
          <t>합계</t>
        </is>
      </c>
      <c r="C17" s="19" t="n">
        <v>147</v>
      </c>
      <c r="D17" s="19" t="n">
        <v>72</v>
      </c>
      <c r="E17" s="20" t="n">
        <v>1</v>
      </c>
      <c r="F17" s="18" t="inlineStr"/>
    </row>
    <row r="19">
      <c r="B19" s="3" t="inlineStr">
        <is>
          <t>검토 진행 상황</t>
        </is>
      </c>
    </row>
    <row r="20" ht="30" customHeight="1">
      <c r="B20" s="4" t="inlineStr"/>
      <c r="C20" s="4" t="inlineStr">
        <is>
          <t>각 시트에서 채택으로 표시하면 아래 숫자가 자동으로 바뀝니다.</t>
        </is>
      </c>
    </row>
    <row r="21">
      <c r="B21" s="5" t="inlineStr">
        <is>
          <t>주제</t>
        </is>
      </c>
      <c r="C21" s="5" t="inlineStr">
        <is>
          <t>채택</t>
        </is>
      </c>
      <c r="D21" s="5" t="inlineStr">
        <is>
          <t>목표</t>
        </is>
      </c>
      <c r="E21" s="5" t="inlineStr">
        <is>
          <t>남은 수</t>
        </is>
      </c>
    </row>
    <row r="22">
      <c r="B22" s="10" t="inlineStr">
        <is>
          <t>청렴</t>
        </is>
      </c>
      <c r="C22" s="11">
        <f>COUNTIF('청렴 40'!$L$5:$L$44,"채택")</f>
        <v/>
      </c>
      <c r="D22" s="11" t="n">
        <v>24</v>
      </c>
      <c r="E22" s="11">
        <f>24-COUNTIF('청렴 40'!$L$5:$L$44,"채택")</f>
        <v/>
      </c>
    </row>
    <row r="23">
      <c r="B23" s="14" t="inlineStr">
        <is>
          <t>적극행정</t>
        </is>
      </c>
      <c r="C23" s="15">
        <f>COUNTIF('적극행정 35'!$L$5:$L$39,"채택")</f>
        <v/>
      </c>
      <c r="D23" s="15" t="n">
        <v>18</v>
      </c>
      <c r="E23" s="15">
        <f>18-COUNTIF('적극행정 35'!$L$5:$L$39,"채택")</f>
        <v/>
      </c>
    </row>
    <row r="24">
      <c r="B24" s="6" t="inlineStr">
        <is>
          <t>안전</t>
        </is>
      </c>
      <c r="C24" s="7">
        <f>COUNTIF('안전 72'!$L$5:$L$76,"채택")</f>
        <v/>
      </c>
      <c r="D24" s="7" t="n">
        <v>30</v>
      </c>
      <c r="E24" s="7">
        <f>30-COUNTIF('안전 72'!$L$5:$L$76,"채택")</f>
        <v/>
      </c>
    </row>
    <row r="26">
      <c r="B26" s="3" t="inlineStr">
        <is>
          <t>확인이 필요한 사항</t>
        </is>
      </c>
    </row>
    <row r="27" ht="32" customHeight="1">
      <c r="B27" s="21" t="inlineStr">
        <is>
          <t>•</t>
        </is>
      </c>
      <c r="C27" s="22" t="inlineStr">
        <is>
          <t>공단 자체 「임직원 행동강령」 조번호 — 청렴 C1-33·34·35·36·37은 공무원 행동강령 조번호를 인용했습니다. 공단 규정 번호가 다르면 교체가 필요합니다.</t>
        </is>
      </c>
    </row>
    <row r="28" ht="32" customHeight="1">
      <c r="B28" s="21" t="inlineStr">
        <is>
          <t>•</t>
        </is>
      </c>
      <c r="C28" s="22" t="inlineStr">
        <is>
          <t>「적극행정 운영규정」은 본래 공무원이 수범자입니다. 공단 자체 적극행정 규정이 있다면 그 근거로 바꾸는 것이 정확합니다.</t>
        </is>
      </c>
    </row>
    <row r="29" ht="32" customHeight="1">
      <c r="B29" s="21" t="inlineStr">
        <is>
          <t>•</t>
        </is>
      </c>
      <c r="C29" s="22" t="inlineStr">
        <is>
          <t>청렴 C1-38(단답형)은 채점 허용 문자열 등록이 필요합니다. 1398 외에 국번없이 1398 등도 정답 처리하려면 숫자만 비교하는 방식이 안전합니다.</t>
        </is>
      </c>
    </row>
    <row r="30" ht="32" customHeight="1">
      <c r="B30" s="21" t="inlineStr">
        <is>
          <t>•</t>
        </is>
      </c>
      <c r="C30" s="22" t="inlineStr">
        <is>
          <t>안전 문항 중 사전 M01과 사후 M01P처럼 짝이 있는 문항은 함께 남기거나 함께 빼야 성과측정 지표가 깨지지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13" customWidth="1" min="4" max="4"/>
    <col width="12" customWidth="1" min="5" max="5"/>
    <col width="8" customWidth="1" min="6" max="6"/>
    <col width="52" customWidth="1" min="7" max="7"/>
    <col width="50" customWidth="1" min="8" max="8"/>
    <col width="11" customWidth="1" min="9" max="9"/>
    <col width="56" customWidth="1" min="10" max="10"/>
    <col width="22" customWidth="1" min="11" max="11"/>
    <col width="8" customWidth="1" min="12" max="12"/>
    <col width="30" customWidth="1" min="13" max="13"/>
  </cols>
  <sheetData>
    <row r="1">
      <c r="A1" s="23" t="inlineStr">
        <is>
          <t>청렴 40</t>
        </is>
      </c>
      <c r="G1" s="24">
        <f>CONCATENATE("채택 ",COUNTIF($L$5:$L$44,"채택"),"개  ·  목표 24개  ·  보류 ",COUNTIF($L$5:$L$44,"보류"),"개  ·  제외 ",COUNTIF($L$5:$L$44,"제외"),"개")</f>
        <v/>
      </c>
    </row>
    <row r="2">
      <c r="A2" s="25" t="inlineStr">
        <is>
          <t>신규 후보입니다. 2026년 8월 기준 현행 조문으로 작성했습니다. 채택 열에서 채택·보류·제외를 골라 주십시오.</t>
        </is>
      </c>
    </row>
    <row r="4" ht="22" customHeight="1">
      <c r="A4" s="26" t="inlineStr">
        <is>
          <t>번호</t>
        </is>
      </c>
      <c r="B4" s="26" t="inlineStr">
        <is>
          <t>유형</t>
        </is>
      </c>
      <c r="C4" s="26" t="inlineStr">
        <is>
          <t>난이도</t>
        </is>
      </c>
      <c r="D4" s="26" t="inlineStr">
        <is>
          <t>영역</t>
        </is>
      </c>
      <c r="E4" s="26" t="inlineStr">
        <is>
          <t>역할</t>
        </is>
      </c>
      <c r="F4" s="26" t="inlineStr">
        <is>
          <t>회차</t>
        </is>
      </c>
      <c r="G4" s="26" t="inlineStr">
        <is>
          <t>문항</t>
        </is>
      </c>
      <c r="H4" s="26" t="inlineStr">
        <is>
          <t>선택지</t>
        </is>
      </c>
      <c r="I4" s="26" t="inlineStr">
        <is>
          <t>정답</t>
        </is>
      </c>
      <c r="J4" s="26" t="inlineStr">
        <is>
          <t>해설</t>
        </is>
      </c>
      <c r="K4" s="26" t="inlineStr">
        <is>
          <t>근거</t>
        </is>
      </c>
      <c r="L4" s="26" t="inlineStr">
        <is>
          <t>채택</t>
        </is>
      </c>
      <c r="M4" s="26" t="inlineStr">
        <is>
          <t>검토 의견</t>
        </is>
      </c>
    </row>
    <row r="5" ht="48" customHeight="1">
      <c r="A5" s="27" t="inlineStr">
        <is>
          <t>C1-01</t>
        </is>
      </c>
      <c r="B5" s="28" t="inlineStr">
        <is>
          <t>OX</t>
        </is>
      </c>
      <c r="C5" s="28" t="inlineStr">
        <is>
          <t>L1</t>
        </is>
      </c>
      <c r="D5" s="29" t="inlineStr">
        <is>
          <t>청렴</t>
        </is>
      </c>
      <c r="E5" s="29" t="inlineStr">
        <is>
          <t>신규 후보</t>
        </is>
      </c>
      <c r="F5" s="29" t="inlineStr"/>
      <c r="G5" s="29" t="inlineStr">
        <is>
          <t>한국산업인력공단 임직원은 공무원이 아니므로 청탁금지법의 적용을 받지 않는다.</t>
        </is>
      </c>
      <c r="H5" s="29" t="inlineStr"/>
      <c r="I5" s="28" t="inlineStr">
        <is>
          <t>X</t>
        </is>
      </c>
      <c r="J5" s="29" t="inlineStr">
        <is>
          <t>공단은 공직유관단체이자 준정부기관이어서 임직원 전원이 청탁금지법상 '공직자등'입니다. 직급이나 고용형태와 관계없이 적용되고, 배우자에게도 일부 규정이 미칩니다.</t>
        </is>
      </c>
      <c r="K5" s="30" t="inlineStr">
        <is>
          <t>청탁금지법 §2 제1호·제2호</t>
        </is>
      </c>
      <c r="L5" s="31" t="inlineStr"/>
      <c r="M5" s="32" t="inlineStr"/>
    </row>
    <row r="6" ht="78" customHeight="1">
      <c r="A6" s="33" t="inlineStr">
        <is>
          <t>C1-02</t>
        </is>
      </c>
      <c r="B6" s="34" t="inlineStr">
        <is>
          <t>MC4</t>
        </is>
      </c>
      <c r="C6" s="34" t="inlineStr">
        <is>
          <t>L1</t>
        </is>
      </c>
      <c r="D6" s="35" t="inlineStr">
        <is>
          <t>청렴</t>
        </is>
      </c>
      <c r="E6" s="35" t="inlineStr">
        <is>
          <t>신규 후보</t>
        </is>
      </c>
      <c r="F6" s="35" t="inlineStr"/>
      <c r="G6" s="35" t="inlineStr">
        <is>
          <t>청탁금지법 시행령상 원활한 직무수행 등의 목적으로 제공받을 수 있는 음식물의 가액 기준은?</t>
        </is>
      </c>
      <c r="H6" s="35" t="inlineStr">
        <is>
          <t>1. 3만원
2. 5만원  ✔
3. 10만원
4. 15만원</t>
        </is>
      </c>
      <c r="I6" s="34" t="inlineStr">
        <is>
          <t>2번</t>
        </is>
      </c>
      <c r="J6" s="35" t="inlineStr">
        <is>
          <t>2024년 8월 27일 시행령 개정으로 3만원에서 5만원으로 올랐습니다. 제공자와 함께 하는 식사·다과·주류·음료가 대상이며, 혼자 먹으라고 보내온 음식은 음식물이 아니라 선물 기준으로 봅니다.</t>
        </is>
      </c>
      <c r="K6" s="36" t="inlineStr">
        <is>
          <t>청탁금지법 §8③2호·시행령 §17 [별표 1]</t>
        </is>
      </c>
      <c r="L6" s="31" t="inlineStr"/>
      <c r="M6" s="32" t="inlineStr"/>
    </row>
    <row r="7" ht="78" customHeight="1">
      <c r="A7" s="27" t="inlineStr">
        <is>
          <t>C1-03</t>
        </is>
      </c>
      <c r="B7" s="28" t="inlineStr">
        <is>
          <t>MC4</t>
        </is>
      </c>
      <c r="C7" s="28" t="inlineStr">
        <is>
          <t>L2</t>
        </is>
      </c>
      <c r="D7" s="29" t="inlineStr">
        <is>
          <t>청렴</t>
        </is>
      </c>
      <c r="E7" s="29" t="inlineStr">
        <is>
          <t>신규 후보</t>
        </is>
      </c>
      <c r="F7" s="29" t="inlineStr"/>
      <c r="G7" s="29" t="inlineStr">
        <is>
          <t>청탁금지법상 선물의 가액 기준을 바르게 짝지은 것은?</t>
        </is>
      </c>
      <c r="H7" s="29" t="inlineStr">
        <is>
          <t>1. 일반 선물 3만원 / 농수산물·농수산가공품 10만원
2. 일반 선물 5만원 / 농수산물·농수산가공품 15만원  ✔
3. 일반 선물 5만원 / 농수산물·농수산가공품 10만원
4. 일반 선물 10만원 / 농수산물·농수산가공품 20만원</t>
        </is>
      </c>
      <c r="I7" s="28" t="inlineStr">
        <is>
          <t>2번</t>
        </is>
      </c>
      <c r="J7" s="29" t="inlineStr">
        <is>
          <t>선물은 5만원이 원칙이고 농수산물과 농수산가공품만 15만원까지 허용됩니다. 두 가지를 함께 받으면 합산하되 각각의 한도도 넘지 않아야 합니다.</t>
        </is>
      </c>
      <c r="K7" s="30" t="inlineStr">
        <is>
          <t>청탁금지법 시행령 §17 [별표 1]</t>
        </is>
      </c>
      <c r="L7" s="31" t="inlineStr"/>
      <c r="M7" s="32" t="inlineStr"/>
    </row>
    <row r="8" ht="78" customHeight="1">
      <c r="A8" s="33" t="inlineStr">
        <is>
          <t>C1-04</t>
        </is>
      </c>
      <c r="B8" s="34" t="inlineStr">
        <is>
          <t>MC4</t>
        </is>
      </c>
      <c r="C8" s="34" t="inlineStr">
        <is>
          <t>L3</t>
        </is>
      </c>
      <c r="D8" s="35" t="inlineStr">
        <is>
          <t>청렴</t>
        </is>
      </c>
      <c r="E8" s="35" t="inlineStr">
        <is>
          <t>신규 후보</t>
        </is>
      </c>
      <c r="F8" s="35" t="inlineStr"/>
      <c r="G8" s="35" t="inlineStr">
        <is>
          <t>농수산물 선물의 가액 기준이 30만원으로 올라가는 '설날·추석 기간'의 범위는?</t>
        </is>
      </c>
      <c r="H8" s="35" t="inlineStr">
        <is>
          <t>1. 설날·추석 당일 하루
2. 설날·추석 전 5일부터 당일까지
3. 설날·추석 전 24일부터 설날·추석 후 5일까지 30일간  ✔
4. 설날·추석이 속한 달 전체</t>
        </is>
      </c>
      <c r="I8" s="34" t="inlineStr">
        <is>
          <t>3번</t>
        </is>
      </c>
      <c r="J8" s="35" t="inlineStr">
        <is>
          <t>명절 기간은 설날·추석 전 24일부터 후 5일까지 30일간이고, 이 기간에만 농수산물·농수산가공품 선물이 30만원까지 허용됩니다. 일반 선물 5만원 한도는 명절에도 그대로입니다.</t>
        </is>
      </c>
      <c r="K8" s="36" t="inlineStr">
        <is>
          <t>청탁금지법 시행령 §17 [별표 1] 비고</t>
        </is>
      </c>
      <c r="L8" s="31" t="inlineStr"/>
      <c r="M8" s="32" t="inlineStr"/>
    </row>
    <row r="9" ht="78" customHeight="1">
      <c r="A9" s="27" t="inlineStr">
        <is>
          <t>C1-05</t>
        </is>
      </c>
      <c r="B9" s="28" t="inlineStr">
        <is>
          <t>MC4</t>
        </is>
      </c>
      <c r="C9" s="28" t="inlineStr">
        <is>
          <t>L2</t>
        </is>
      </c>
      <c r="D9" s="29" t="inlineStr">
        <is>
          <t>청렴</t>
        </is>
      </c>
      <c r="E9" s="29" t="inlineStr">
        <is>
          <t>신규 후보</t>
        </is>
      </c>
      <c r="F9" s="29" t="inlineStr"/>
      <c r="G9" s="29" t="inlineStr">
        <is>
          <t>청탁금지법상 경조사비의 가액 기준으로 옳은 것은?</t>
        </is>
      </c>
      <c r="H9" s="29" t="inlineStr">
        <is>
          <t>1. 축의금·조의금 5만원, 화환·조화 10만원  ✔
2. 축의금·조의금 10만원, 화환·조화 5만원
3. 축의금·조의금 5만원, 화환·조화 5만원
4. 축의금·조의금 10만원, 화환·조화 10만원</t>
        </is>
      </c>
      <c r="I9" s="28" t="inlineStr">
        <is>
          <t>1번</t>
        </is>
      </c>
      <c r="J9" s="29" t="inlineStr">
        <is>
          <t>현금으로 내는 축의금·조의금은 5만원, 이를 대신하는 화환·조화는 10만원까지입니다. 두 기준을 혼동해 현금을 10만원 내는 사례가 가장 흔한 실수입니다.</t>
        </is>
      </c>
      <c r="K9" s="30" t="inlineStr">
        <is>
          <t>청탁금지법 시행령 §17 [별표 1]</t>
        </is>
      </c>
      <c r="L9" s="31" t="inlineStr"/>
      <c r="M9" s="32" t="inlineStr"/>
    </row>
    <row r="10" ht="48" customHeight="1">
      <c r="A10" s="33" t="inlineStr">
        <is>
          <t>C1-06</t>
        </is>
      </c>
      <c r="B10" s="34" t="inlineStr">
        <is>
          <t>OX</t>
        </is>
      </c>
      <c r="C10" s="34" t="inlineStr">
        <is>
          <t>L1</t>
        </is>
      </c>
      <c r="D10" s="35" t="inlineStr">
        <is>
          <t>청렴</t>
        </is>
      </c>
      <c r="E10" s="35" t="inlineStr">
        <is>
          <t>신규 후보</t>
        </is>
      </c>
      <c r="F10" s="35" t="inlineStr"/>
      <c r="G10" s="35" t="inlineStr">
        <is>
          <t>직무관련자에게 5만원짜리 선물을 받았더라도 그것이 부정청탁의 대가라면 허용되지 않는다.</t>
        </is>
      </c>
      <c r="H10" s="35" t="inlineStr"/>
      <c r="I10" s="34" t="inlineStr">
        <is>
          <t>O</t>
        </is>
      </c>
      <c r="J10" s="35" t="inlineStr">
        <is>
          <t>가액 기준은 원활한 직무수행이나 사교·의례 목적일 때만 적용되는 예외입니다. 대가성이 있으면 금액과 무관하게 위반이고, 뇌물죄가 성립할 수도 있습니다.</t>
        </is>
      </c>
      <c r="K10" s="36" t="inlineStr">
        <is>
          <t>청탁금지법 §8③2호</t>
        </is>
      </c>
      <c r="L10" s="31" t="inlineStr"/>
      <c r="M10" s="32" t="inlineStr"/>
    </row>
    <row r="11" ht="78" customHeight="1">
      <c r="A11" s="27" t="inlineStr">
        <is>
          <t>C1-07</t>
        </is>
      </c>
      <c r="B11" s="28" t="inlineStr">
        <is>
          <t>MC4</t>
        </is>
      </c>
      <c r="C11" s="28" t="inlineStr">
        <is>
          <t>L2</t>
        </is>
      </c>
      <c r="D11" s="29" t="inlineStr">
        <is>
          <t>청렴</t>
        </is>
      </c>
      <c r="E11" s="29" t="inlineStr">
        <is>
          <t>신규 후보</t>
        </is>
      </c>
      <c r="F11" s="29" t="inlineStr"/>
      <c r="G11" s="29" t="inlineStr">
        <is>
          <t>직무 관련 여부를 따지지 않고 형사처벌 대상이 되는 금품 수수 기준은?</t>
        </is>
      </c>
      <c r="H11" s="29" t="inlineStr">
        <is>
          <t>1. 동일인으로부터 1회 50만원 또는 매 회계연도 200만원 초과
2. 동일인으로부터 1회 100만원 또는 매 회계연도 300만원 초과  ✔
3. 동일인으로부터 1회 200만원 또는 매 회계연도 500만원 초과
4. 동일인으로부터 1회 300만원 또는 매 회계연도 1천만원 초과</t>
        </is>
      </c>
      <c r="I11" s="28" t="inlineStr">
        <is>
          <t>2번</t>
        </is>
      </c>
      <c r="J11" s="29" t="inlineStr">
        <is>
          <t>동일인에게 1회 100만원 또는 매 회계연도 300만원을 넘게 받으면 직무 관련성이나 명목을 따지지 않고 3년 이하 징역 또는 3천만원 이하 벌금 대상입니다.</t>
        </is>
      </c>
      <c r="K11" s="30" t="inlineStr">
        <is>
          <t>청탁금지법 §8①·§22①</t>
        </is>
      </c>
      <c r="L11" s="31" t="inlineStr"/>
      <c r="M11" s="32" t="inlineStr"/>
    </row>
    <row r="12" ht="78" customHeight="1">
      <c r="A12" s="33" t="inlineStr">
        <is>
          <t>C1-08</t>
        </is>
      </c>
      <c r="B12" s="34" t="inlineStr">
        <is>
          <t>MC4</t>
        </is>
      </c>
      <c r="C12" s="34" t="inlineStr">
        <is>
          <t>L3</t>
        </is>
      </c>
      <c r="D12" s="35" t="inlineStr">
        <is>
          <t>청렴</t>
        </is>
      </c>
      <c r="E12" s="35" t="inlineStr">
        <is>
          <t>신규 후보</t>
        </is>
      </c>
      <c r="F12" s="35" t="inlineStr"/>
      <c r="G12" s="35" t="inlineStr">
        <is>
          <t>직무와 관련해 100만원 이하의 금품을 받은 공직자등에게 적용되는 제재는?</t>
        </is>
      </c>
      <c r="H12" s="35" t="inlineStr">
        <is>
          <t>1. 제재 없음
2. 수수 금액의 2배 이상 5배 이하 과태료  ✔
3. 수수 금액과 같은 금액의 과태료
4. 3년 이하 징역</t>
        </is>
      </c>
      <c r="I12" s="34" t="inlineStr">
        <is>
          <t>2번</t>
        </is>
      </c>
      <c r="J12" s="35" t="inlineStr">
        <is>
          <t>100만원 이하라도 직무와 관련되면 대가성을 따지지 않고 금지되며, 수수 금액의 2배 이상 5배 이하 과태료가 부과됩니다. 100만원을 넘는 순간 형사처벌로 넘어갑니다.</t>
        </is>
      </c>
      <c r="K12" s="36" t="inlineStr">
        <is>
          <t>청탁금지법 §8②·§23⑤</t>
        </is>
      </c>
      <c r="L12" s="31" t="inlineStr"/>
      <c r="M12" s="32" t="inlineStr"/>
    </row>
    <row r="13" ht="48" customHeight="1">
      <c r="A13" s="27" t="inlineStr">
        <is>
          <t>C1-09</t>
        </is>
      </c>
      <c r="B13" s="28" t="inlineStr">
        <is>
          <t>OX</t>
        </is>
      </c>
      <c r="C13" s="28" t="inlineStr">
        <is>
          <t>L2</t>
        </is>
      </c>
      <c r="D13" s="29" t="inlineStr">
        <is>
          <t>청렴</t>
        </is>
      </c>
      <c r="E13" s="29" t="inlineStr">
        <is>
          <t>신규 후보</t>
        </is>
      </c>
      <c r="F13" s="29" t="inlineStr"/>
      <c r="G13" s="29" t="inlineStr">
        <is>
          <t>배우자가 내 직무와 관련해 금품을 받은 사실을 알게 되면 나에게 신고 의무가 생긴다.</t>
        </is>
      </c>
      <c r="H13" s="29" t="inlineStr"/>
      <c r="I13" s="28" t="inlineStr">
        <is>
          <t>O</t>
        </is>
      </c>
      <c r="J13" s="29" t="inlineStr">
        <is>
          <t>배우자는 공직자등의 직무와 관련해 수수 금지 금품을 받을 수 없고, 이를 안 공직자는 지체 없이 소속기관장에게 서면으로 신고하고 반환하게 해야 합니다. 알고도 신고하지 않으면 본인이 제재를 받습니다.</t>
        </is>
      </c>
      <c r="K13" s="30" t="inlineStr">
        <is>
          <t>청탁금지법 §8④·§9①</t>
        </is>
      </c>
      <c r="L13" s="31" t="inlineStr"/>
      <c r="M13" s="32" t="inlineStr"/>
    </row>
    <row r="14" ht="78" customHeight="1">
      <c r="A14" s="33" t="inlineStr">
        <is>
          <t>C1-10</t>
        </is>
      </c>
      <c r="B14" s="34" t="inlineStr">
        <is>
          <t>MC4</t>
        </is>
      </c>
      <c r="C14" s="34" t="inlineStr">
        <is>
          <t>L2</t>
        </is>
      </c>
      <c r="D14" s="35" t="inlineStr">
        <is>
          <t>청렴</t>
        </is>
      </c>
      <c r="E14" s="35" t="inlineStr">
        <is>
          <t>신규 후보</t>
        </is>
      </c>
      <c r="F14" s="35" t="inlineStr"/>
      <c r="G14" s="35" t="inlineStr">
        <is>
          <t>훈련기관 관계자가 자리에 두고 간 상품권을 퇴근 무렵 발견했다. 가장 적절한 조치는?</t>
        </is>
      </c>
      <c r="H14" s="35" t="inlineStr">
        <is>
          <t>1. 돌려줄 방법이 마땅치 않으면 그대로 보관한다
2. 지체 없이 소속기관장에게 서면 신고하고 제공자에게 반환하거나 소속기관장에게 인도한다  ✔
3. 부서 공동경비로 처리한다
4. 연말 정기 점검 때 일괄 보고한다</t>
        </is>
      </c>
      <c r="I14" s="34" t="inlineStr">
        <is>
          <t>2번</t>
        </is>
      </c>
      <c r="J14" s="35" t="inlineStr">
        <is>
          <t>받을 의사가 없었더라도 신고와 반환이 원칙입니다. 제공자를 알 수 없거나 반환이 어려우면 소속기관장에게 인도하면 되고, 신고하지 않은 채 보관하는 것 자체가 위반입니다.</t>
        </is>
      </c>
      <c r="K14" s="36" t="inlineStr">
        <is>
          <t>청탁금지법 §9①·②</t>
        </is>
      </c>
      <c r="L14" s="31" t="inlineStr"/>
      <c r="M14" s="32" t="inlineStr"/>
    </row>
    <row r="15" ht="93" customHeight="1">
      <c r="A15" s="27" t="inlineStr">
        <is>
          <t>C1-11</t>
        </is>
      </c>
      <c r="B15" s="28" t="inlineStr">
        <is>
          <t>ORDER</t>
        </is>
      </c>
      <c r="C15" s="28" t="inlineStr">
        <is>
          <t>L2</t>
        </is>
      </c>
      <c r="D15" s="29" t="inlineStr">
        <is>
          <t>청렴</t>
        </is>
      </c>
      <c r="E15" s="29" t="inlineStr">
        <is>
          <t>신규 후보</t>
        </is>
      </c>
      <c r="F15" s="29" t="inlineStr"/>
      <c r="G15" s="29" t="inlineStr">
        <is>
          <t>부정청탁을 받았을 때의 처리 순서를 배열하시오.</t>
        </is>
      </c>
      <c r="H15" s="29" t="inlineStr">
        <is>
          <t>① 동일한 부정청탁을 다시 받음
② 부정청탁을 받았다는 사실을 인지
③ 소속기관장에게 서면으로 신고
④ 청탁한 사람에게 거절하는 의사를 명확히 표시
⑤ 소속기관장이 직무 재배정 등 필요한 조치를 함</t>
        </is>
      </c>
      <c r="I15" s="28" t="inlineStr">
        <is>
          <t>② → ④ → ① → ③ → ⑤</t>
        </is>
      </c>
      <c r="J15" s="29" t="inlineStr">
        <is>
          <t>최초 1회는 거절 의사를 분명히 밝히는 것으로 충분하고, 같은 청탁을 다시 받으면 그때는 반드시 서면 신고해야 합니다. 거절한 사실을 기록으로 남겨두면 나중에 본인을 보호합니다.</t>
        </is>
      </c>
      <c r="K15" s="30" t="inlineStr">
        <is>
          <t>청탁금지법 §7①·②</t>
        </is>
      </c>
      <c r="L15" s="31" t="inlineStr"/>
      <c r="M15" s="32" t="inlineStr"/>
    </row>
    <row r="16" ht="78" customHeight="1">
      <c r="A16" s="33" t="inlineStr">
        <is>
          <t>C1-12</t>
        </is>
      </c>
      <c r="B16" s="34" t="inlineStr">
        <is>
          <t>MC4</t>
        </is>
      </c>
      <c r="C16" s="34" t="inlineStr">
        <is>
          <t>L2</t>
        </is>
      </c>
      <c r="D16" s="35" t="inlineStr">
        <is>
          <t>청렴</t>
        </is>
      </c>
      <c r="E16" s="35" t="inlineStr">
        <is>
          <t>신규 후보</t>
        </is>
      </c>
      <c r="F16" s="35" t="inlineStr"/>
      <c r="G16" s="35" t="inlineStr">
        <is>
          <t>다음 중 청탁금지법상 '부정청탁'에 해당하지 않는 것은?</t>
        </is>
      </c>
      <c r="H16" s="35" t="inlineStr">
        <is>
          <t>1. 자격시험 채점 기준을 특정 응시자에게 유리하게 바꿔 달라고 요구
2. 훈련기관 지정 요건을 법령과 다르게 완화해 처리해 달라고 요구
3. 자기 민원이 법정처리기한을 넘겼는지 진행 상황을 확인해 달라고 요구  ✔
4. 감사 대상에서 특정 기관을 빼 달라고 요구</t>
        </is>
      </c>
      <c r="I16" s="34" t="inlineStr">
        <is>
          <t>3번</t>
        </is>
      </c>
      <c r="J16" s="35" t="inlineStr">
        <is>
          <t>법정기한 내 처리 요청이나 진행 상황 확인은 법이 명시한 예외입니다. 공개적으로 요구하거나 법령·기준이 정한 절차에 따라 요구하는 것도 부정청탁이 아닙니다.</t>
        </is>
      </c>
      <c r="K16" s="36" t="inlineStr">
        <is>
          <t>청탁금지법 §5②</t>
        </is>
      </c>
      <c r="L16" s="31" t="inlineStr"/>
      <c r="M16" s="32" t="inlineStr"/>
    </row>
    <row r="17" ht="78" customHeight="1">
      <c r="A17" s="27" t="inlineStr">
        <is>
          <t>C1-13</t>
        </is>
      </c>
      <c r="B17" s="28" t="inlineStr">
        <is>
          <t>MC4</t>
        </is>
      </c>
      <c r="C17" s="28" t="inlineStr">
        <is>
          <t>L2</t>
        </is>
      </c>
      <c r="D17" s="29" t="inlineStr">
        <is>
          <t>청렴</t>
        </is>
      </c>
      <c r="E17" s="29" t="inlineStr">
        <is>
          <t>신규 후보</t>
        </is>
      </c>
      <c r="F17" s="29" t="inlineStr"/>
      <c r="G17" s="29" t="inlineStr">
        <is>
          <t>국가기술자격 검정 업무와 관련해 부정청탁에 해당하는 것은?</t>
        </is>
      </c>
      <c r="H17" s="29" t="inlineStr">
        <is>
          <t>1. 응시 자격 요건을 법령대로 설명해 달라고 요청하는 것
2. 시험 일정과 장소를 공개된 절차에 따라 문의하는 것
3. 법령을 위반해 특정인이 시험위원으로 선정되거나 탈락하도록 영향을 미치는 것  ✔
4. 채점 결과에 대해 정해진 이의신청 절차를 밟는 것</t>
        </is>
      </c>
      <c r="I17" s="28" t="inlineStr">
        <is>
          <t>3번</t>
        </is>
      </c>
      <c r="J17" s="29" t="inlineStr">
        <is>
          <t>공공기관이 주관하는 시험·선발 위원 선정에 법령을 위반해 개입하는 것은 법이 열거한 부정청탁 유형입니다. 정해진 절차를 이용하는 요구는 부정청탁이 아닙니다.</t>
        </is>
      </c>
      <c r="K17" s="30" t="inlineStr">
        <is>
          <t>청탁금지법 §5①</t>
        </is>
      </c>
      <c r="L17" s="31" t="inlineStr"/>
      <c r="M17" s="32" t="inlineStr"/>
    </row>
    <row r="18" ht="48" customHeight="1">
      <c r="A18" s="33" t="inlineStr">
        <is>
          <t>C1-14</t>
        </is>
      </c>
      <c r="B18" s="34" t="inlineStr">
        <is>
          <t>OX</t>
        </is>
      </c>
      <c r="C18" s="34" t="inlineStr">
        <is>
          <t>L3</t>
        </is>
      </c>
      <c r="D18" s="35" t="inlineStr">
        <is>
          <t>청렴</t>
        </is>
      </c>
      <c r="E18" s="35" t="inlineStr">
        <is>
          <t>신규 후보</t>
        </is>
      </c>
      <c r="F18" s="35" t="inlineStr"/>
      <c r="G18" s="35" t="inlineStr">
        <is>
          <t>공단과 같은 준정부기관의 임직원은 형법상 뇌물죄를 적용할 때 공무원으로 본다.</t>
        </is>
      </c>
      <c r="H18" s="35" t="inlineStr"/>
      <c r="I18" s="34" t="inlineStr">
        <is>
          <t>O</t>
        </is>
      </c>
      <c r="J18" s="35" t="inlineStr">
        <is>
          <t>공공기관운영법은 공기업·준정부기관 임직원을 형법 제129조부터 제132조까지의 적용에서 공무원으로 의제합니다. 청탁금지법 위반과 별개로 뇌물죄가 성립할 수 있습니다.</t>
        </is>
      </c>
      <c r="K18" s="36" t="inlineStr">
        <is>
          <t>공공기관운영법 §53·형법 §129~§132</t>
        </is>
      </c>
      <c r="L18" s="31" t="inlineStr"/>
      <c r="M18" s="32" t="inlineStr"/>
    </row>
    <row r="19" ht="78" customHeight="1">
      <c r="A19" s="27" t="inlineStr">
        <is>
          <t>C1-15</t>
        </is>
      </c>
      <c r="B19" s="28" t="inlineStr">
        <is>
          <t>MC4</t>
        </is>
      </c>
      <c r="C19" s="28" t="inlineStr">
        <is>
          <t>L2</t>
        </is>
      </c>
      <c r="D19" s="29" t="inlineStr">
        <is>
          <t>청렴</t>
        </is>
      </c>
      <c r="E19" s="29" t="inlineStr">
        <is>
          <t>신규 후보</t>
        </is>
      </c>
      <c r="F19" s="29" t="inlineStr"/>
      <c r="G19" s="29" t="inlineStr">
        <is>
          <t>사례금을 받고 외부강의를 한 경우 소속기관장에게 신고해야 하는 기한은?</t>
        </is>
      </c>
      <c r="H19" s="29" t="inlineStr">
        <is>
          <t>1. 강의 요청을 받은 즉시
2. 강의를 시작하기 전까지
3. 강의를 마친 날부터 10일 이내  ✔
4. 다음 달 말일까지</t>
        </is>
      </c>
      <c r="I19" s="28" t="inlineStr">
        <is>
          <t>3번</t>
        </is>
      </c>
      <c r="J19" s="29" t="inlineStr">
        <is>
          <t>2020년 개정으로 사전 신고에서 사후 신고로 바뀌어, 마친 날부터 10일 이내에 서면으로 신고합니다. 사례금 총액을 미리 알 수 없으면 나머지를 먼저 신고하고 안 날부터 5일 이내에 보완합니다.</t>
        </is>
      </c>
      <c r="K19" s="30" t="inlineStr">
        <is>
          <t>청탁금지법 §10②·시행령 §26</t>
        </is>
      </c>
      <c r="L19" s="31" t="inlineStr"/>
      <c r="M19" s="32" t="inlineStr"/>
    </row>
    <row r="20" ht="78" customHeight="1">
      <c r="A20" s="33" t="inlineStr">
        <is>
          <t>C1-16</t>
        </is>
      </c>
      <c r="B20" s="34" t="inlineStr">
        <is>
          <t>MC4</t>
        </is>
      </c>
      <c r="C20" s="34" t="inlineStr">
        <is>
          <t>L3</t>
        </is>
      </c>
      <c r="D20" s="35" t="inlineStr">
        <is>
          <t>청렴</t>
        </is>
      </c>
      <c r="E20" s="35" t="inlineStr">
        <is>
          <t>신규 후보</t>
        </is>
      </c>
      <c r="F20" s="35" t="inlineStr"/>
      <c r="G20" s="35" t="inlineStr">
        <is>
          <t>공직유관단체 임직원이 외부강의를 할 때 받을 수 있는 사례금 상한은?</t>
        </is>
      </c>
      <c r="H20" s="35" t="inlineStr">
        <is>
          <t>1. 직급과 무관하게 시간당 40만원, 1시간을 넘겨도 총 60만원  ✔
2. 직급과 무관하게 시간당 100만원
3. 시간 제한 없이 회당 50만원
4. 상한 규정이 없다</t>
        </is>
      </c>
      <c r="I20" s="34" t="inlineStr">
        <is>
          <t>1번</t>
        </is>
      </c>
      <c r="J20" s="35" t="inlineStr">
        <is>
          <t>공무원과 공직유관단체 임직원은 시간당 40만원이고, 1시간을 초과해도 총액은 그 150%인 60만원을 넘을 수 없습니다. 학교·언론사 등은 시간당 100만원으로 기준이 다릅니다.</t>
        </is>
      </c>
      <c r="K20" s="36" t="inlineStr">
        <is>
          <t>청탁금지법 §10①·시행령 [별표 2]</t>
        </is>
      </c>
      <c r="L20" s="31" t="inlineStr"/>
      <c r="M20" s="32" t="inlineStr"/>
    </row>
    <row r="21" ht="78" customHeight="1">
      <c r="A21" s="27" t="inlineStr">
        <is>
          <t>C1-17</t>
        </is>
      </c>
      <c r="B21" s="28" t="inlineStr">
        <is>
          <t>MC4</t>
        </is>
      </c>
      <c r="C21" s="28" t="inlineStr">
        <is>
          <t>L3</t>
        </is>
      </c>
      <c r="D21" s="29" t="inlineStr">
        <is>
          <t>청렴</t>
        </is>
      </c>
      <c r="E21" s="29" t="inlineStr">
        <is>
          <t>신규 후보</t>
        </is>
      </c>
      <c r="F21" s="29" t="inlineStr"/>
      <c r="G21" s="29" t="inlineStr">
        <is>
          <t>외부강의 사례금을 상한액보다 많이 받은 사실을 알게 되었을 때의 조치는?</t>
        </is>
      </c>
      <c r="H21" s="29" t="inlineStr">
        <is>
          <t>1. 다음 강의 사례금에서 차감한다
2. 안 날부터 2일 이내에 소속기관장에게 서면 신고하고 초과액을 지체 없이 반환한다  ✔
3. 연말정산 때 정산한다
4. 기관 공동경비로 납입한다</t>
        </is>
      </c>
      <c r="I21" s="28" t="inlineStr">
        <is>
          <t>2번</t>
        </is>
      </c>
      <c r="J21" s="29" t="inlineStr">
        <is>
          <t>초과 사례금은 안 날부터 2일 이내 서면 신고와 지체 없는 반환이 원칙입니다. 신고와 반환을 모두 이행하면 제재 대상이 되지 않으므로 발견 즉시 처리하는 편이 유리합니다.</t>
        </is>
      </c>
      <c r="K21" s="30" t="inlineStr">
        <is>
          <t>청탁금지법 §10</t>
        </is>
      </c>
      <c r="L21" s="31" t="inlineStr"/>
      <c r="M21" s="32" t="inlineStr"/>
    </row>
    <row r="22" ht="48" customHeight="1">
      <c r="A22" s="33" t="inlineStr">
        <is>
          <t>C1-18</t>
        </is>
      </c>
      <c r="B22" s="34" t="inlineStr">
        <is>
          <t>OX</t>
        </is>
      </c>
      <c r="C22" s="34" t="inlineStr">
        <is>
          <t>L2</t>
        </is>
      </c>
      <c r="D22" s="35" t="inlineStr">
        <is>
          <t>청렴</t>
        </is>
      </c>
      <c r="E22" s="35" t="inlineStr">
        <is>
          <t>신규 후보</t>
        </is>
      </c>
      <c r="F22" s="35" t="inlineStr"/>
      <c r="G22" s="35" t="inlineStr">
        <is>
          <t>국가나 지방자치단체가 요청한 외부강의는 사례금을 받더라도 신고 대상이 아니다.</t>
        </is>
      </c>
      <c r="H22" s="35" t="inlineStr"/>
      <c r="I22" s="34" t="inlineStr">
        <is>
          <t>O</t>
        </is>
      </c>
      <c r="J22" s="35" t="inlineStr">
        <is>
          <t>요청 주체가 국가나 지방자치단체이면 신고 의무가 면제됩니다. 다만 사례금 상한액은 그대로 적용되므로 금액은 별도로 확인해야 합니다.</t>
        </is>
      </c>
      <c r="K22" s="36" t="inlineStr">
        <is>
          <t>청탁금지법 §10②</t>
        </is>
      </c>
      <c r="L22" s="31" t="inlineStr"/>
      <c r="M22" s="32" t="inlineStr"/>
    </row>
    <row r="23" ht="78" customHeight="1">
      <c r="A23" s="27" t="inlineStr">
        <is>
          <t>C1-19</t>
        </is>
      </c>
      <c r="B23" s="28" t="inlineStr">
        <is>
          <t>MC4</t>
        </is>
      </c>
      <c r="C23" s="28" t="inlineStr">
        <is>
          <t>L1</t>
        </is>
      </c>
      <c r="D23" s="29" t="inlineStr">
        <is>
          <t>청렴</t>
        </is>
      </c>
      <c r="E23" s="29" t="inlineStr">
        <is>
          <t>신규 후보</t>
        </is>
      </c>
      <c r="F23" s="29" t="inlineStr"/>
      <c r="G23" s="29" t="inlineStr">
        <is>
          <t>공직자의 이해충돌 방지법이 정한 10가지 행위기준의 구성으로 옳은 것은?</t>
        </is>
      </c>
      <c r="H23" s="29" t="inlineStr">
        <is>
          <t>1. 신고·제출 의무 5가지 + 제한·금지 행위 5가지  ✔
2. 신고 의무 3가지 + 금지 행위 7가지
3. 금지 행위 10가지
4. 신고 의무 10가지</t>
        </is>
      </c>
      <c r="I23" s="28" t="inlineStr">
        <is>
          <t>1번</t>
        </is>
      </c>
      <c r="J23" s="29" t="inlineStr">
        <is>
          <t>사적이해관계자 신고, 부동산 보유·매수 신고, 고위공직자 민간부문 업무활동 내역 제출, 직무관련자와의 거래 신고, 퇴직자 사적 접촉 신고가 신고·제출 5가지이고, 나머지 5가지가 제한·금지 행위입니다.</t>
        </is>
      </c>
      <c r="K23" s="30" t="inlineStr">
        <is>
          <t>이해충돌방지법 §5~§15</t>
        </is>
      </c>
      <c r="L23" s="31" t="inlineStr"/>
      <c r="M23" s="32" t="inlineStr"/>
    </row>
    <row r="24" ht="78" customHeight="1">
      <c r="A24" s="33" t="inlineStr">
        <is>
          <t>C1-20</t>
        </is>
      </c>
      <c r="B24" s="34" t="inlineStr">
        <is>
          <t>MC4</t>
        </is>
      </c>
      <c r="C24" s="34" t="inlineStr">
        <is>
          <t>L2</t>
        </is>
      </c>
      <c r="D24" s="35" t="inlineStr">
        <is>
          <t>청렴</t>
        </is>
      </c>
      <c r="E24" s="35" t="inlineStr">
        <is>
          <t>신규 후보</t>
        </is>
      </c>
      <c r="F24" s="35" t="inlineStr"/>
      <c r="G24" s="35" t="inlineStr">
        <is>
          <t>직무관련자가 사적이해관계자임을 알게 된 공직자가 해야 할 조치는?</t>
        </is>
      </c>
      <c r="H24" s="35" t="inlineStr">
        <is>
          <t>1. 안 날부터 14일 이내에 소속기관장에게 서면으로 신고하고 회피를 신청한다  ✔
2. 연말 정기 신고 때 함께 신고한다
3. 부서장에게 구두로 알리면 된다
4. 공정하게 처리할 자신이 있으면 신고하지 않아도 된다</t>
        </is>
      </c>
      <c r="I24" s="34" t="inlineStr">
        <is>
          <t>1번</t>
        </is>
      </c>
      <c r="J24" s="35" t="inlineStr">
        <is>
          <t>신고와 회피 신청은 한 묶음이고 기한은 안 날부터 14일입니다. 스스로 공정할 수 있다고 판단해 그대로 처리하는 것이 가장 흔한 위반 유형입니다.</t>
        </is>
      </c>
      <c r="K24" s="36" t="inlineStr">
        <is>
          <t>이해충돌방지법 §5①</t>
        </is>
      </c>
      <c r="L24" s="31" t="inlineStr"/>
      <c r="M24" s="32" t="inlineStr"/>
    </row>
    <row r="25" ht="78" customHeight="1">
      <c r="A25" s="27" t="inlineStr">
        <is>
          <t>C1-21</t>
        </is>
      </c>
      <c r="B25" s="28" t="inlineStr">
        <is>
          <t>MC4</t>
        </is>
      </c>
      <c r="C25" s="28" t="inlineStr">
        <is>
          <t>L3</t>
        </is>
      </c>
      <c r="D25" s="29" t="inlineStr">
        <is>
          <t>청렴</t>
        </is>
      </c>
      <c r="E25" s="29" t="inlineStr">
        <is>
          <t>신규 후보</t>
        </is>
      </c>
      <c r="F25" s="29" t="inlineStr"/>
      <c r="G25" s="29" t="inlineStr">
        <is>
          <t>이해충돌방지법상 '사적이해관계자'에 해당하지 않는 것은?</t>
        </is>
      </c>
      <c r="H25" s="29" t="inlineStr">
        <is>
          <t>1. 공단 채용 전 2년 이내에 본인이 재직했던 법인
2. 본인이나 가족이 대표자·임원으로 있는 단체
3. 퇴직한 지 5년이 지난 옛 같은 부서 동료  ✔
4. 본인의 가족</t>
        </is>
      </c>
      <c r="I25" s="28" t="inlineStr">
        <is>
          <t>3번</t>
        </is>
      </c>
      <c r="J25" s="29" t="inlineStr">
        <is>
          <t>퇴직자는 최근 2년 이내에 퇴직했고 퇴직 전 2년 이내에 같은 부서에서 근무한 사람까지가 사적이해관계자입니다. 5년이 지났다면 해당하지 않지만, 직무관련자라면 다른 규정을 별도로 살펴야 합니다.</t>
        </is>
      </c>
      <c r="K25" s="30" t="inlineStr">
        <is>
          <t>이해충돌방지법 §2 제6호</t>
        </is>
      </c>
      <c r="L25" s="31" t="inlineStr"/>
      <c r="M25" s="32" t="inlineStr"/>
    </row>
    <row r="26" ht="93" customHeight="1">
      <c r="A26" s="33" t="inlineStr">
        <is>
          <t>C1-22</t>
        </is>
      </c>
      <c r="B26" s="34" t="inlineStr">
        <is>
          <t>ORDER</t>
        </is>
      </c>
      <c r="C26" s="34" t="inlineStr">
        <is>
          <t>L2</t>
        </is>
      </c>
      <c r="D26" s="35" t="inlineStr">
        <is>
          <t>청렴</t>
        </is>
      </c>
      <c r="E26" s="35" t="inlineStr">
        <is>
          <t>신규 후보</t>
        </is>
      </c>
      <c r="F26" s="35" t="inlineStr"/>
      <c r="G26" s="35" t="inlineStr">
        <is>
          <t>훈련기관 인정 심사를 맡았는데 신청 기관의 대표가 친형임을 알게 되었다. 처리 순서를 배열하시오.</t>
        </is>
      </c>
      <c r="H26" s="35" t="inlineStr">
        <is>
          <t>① 소속기관장이 직무 재배정·직무대리 지정 등 조치를 함
② 신청 기관 대표가 사적이해관계자(가족)임을 인지
③ 안 날부터 14일 이내에 소속기관장에게 서면으로 신고
④ 신고와 함께 해당 직무의 회피를 신청
⑤ 후임자가 심사를 이어서 진행</t>
        </is>
      </c>
      <c r="I26" s="34" t="inlineStr">
        <is>
          <t>② → ③ → ④ → ① → ⑤</t>
        </is>
      </c>
      <c r="J26" s="35" t="inlineStr">
        <is>
          <t>인지 → 서면 신고 → 회피 신청 → 기관장 조치 → 후임 처리 순서입니다. 신고만 해 두고 심사를 계속 진행하면 회피 의무를 이행한 것으로 보기 어렵습니다.</t>
        </is>
      </c>
      <c r="K26" s="36" t="inlineStr">
        <is>
          <t>이해충돌방지법 §5①</t>
        </is>
      </c>
      <c r="L26" s="31" t="inlineStr"/>
      <c r="M26" s="32" t="inlineStr"/>
    </row>
    <row r="27" ht="48" customHeight="1">
      <c r="A27" s="27" t="inlineStr">
        <is>
          <t>C1-23</t>
        </is>
      </c>
      <c r="B27" s="28" t="inlineStr">
        <is>
          <t>OX</t>
        </is>
      </c>
      <c r="C27" s="28" t="inlineStr">
        <is>
          <t>L1</t>
        </is>
      </c>
      <c r="D27" s="29" t="inlineStr">
        <is>
          <t>청렴</t>
        </is>
      </c>
      <c r="E27" s="29" t="inlineStr">
        <is>
          <t>신규 후보</t>
        </is>
      </c>
      <c r="F27" s="29" t="inlineStr"/>
      <c r="G27" s="29" t="inlineStr">
        <is>
          <t>가족이 지원한 채용 전형에 심사위원으로 참여하더라도 공정하게만 심사하면 문제되지 않는다.</t>
        </is>
      </c>
      <c r="H27" s="29" t="inlineStr"/>
      <c r="I27" s="28" t="inlineStr">
        <is>
          <t>X</t>
        </is>
      </c>
      <c r="J27" s="29" t="inlineStr">
        <is>
          <t>이해충돌은 실제로 불공정했는지가 아니라 그런 상황에 놓였는지로 판단합니다. 사적이해관계자임을 신고하고 회피해야 하며, 본인의 공정성에 대한 자신감은 면책 사유가 되지 않습니다.</t>
        </is>
      </c>
      <c r="K27" s="30" t="inlineStr">
        <is>
          <t>이해충돌방지법 §5①</t>
        </is>
      </c>
      <c r="L27" s="31" t="inlineStr"/>
      <c r="M27" s="32" t="inlineStr"/>
    </row>
    <row r="28" ht="78" customHeight="1">
      <c r="A28" s="33" t="inlineStr">
        <is>
          <t>C1-24</t>
        </is>
      </c>
      <c r="B28" s="34" t="inlineStr">
        <is>
          <t>MC4</t>
        </is>
      </c>
      <c r="C28" s="34" t="inlineStr">
        <is>
          <t>L2</t>
        </is>
      </c>
      <c r="D28" s="35" t="inlineStr">
        <is>
          <t>청렴</t>
        </is>
      </c>
      <c r="E28" s="35" t="inlineStr">
        <is>
          <t>신규 후보</t>
        </is>
      </c>
      <c r="F28" s="35" t="inlineStr"/>
      <c r="G28" s="35" t="inlineStr">
        <is>
          <t>이해충돌방지법상 가족 채용 제한의 예외에 해당하는 것은?</t>
        </is>
      </c>
      <c r="H28" s="35" t="inlineStr">
        <is>
          <t>1. 부서장이 사전에 승인한 경우
2. 공개경쟁채용시험 등 다수인을 대상으로 하는 채용시험에 합격한 경우  ✔
3. 채용된 뒤 본인이 신고한 경우
4. 계약직으로 채용하는 경우</t>
        </is>
      </c>
      <c r="I28" s="34" t="inlineStr">
        <is>
          <t>2번</t>
        </is>
      </c>
      <c r="J28" s="35" t="inlineStr">
        <is>
          <t>다수인이 경쟁하는 공개 시험을 통과한 경우에는 제한이 적용되지 않습니다. 반대로 소수를 대상으로 한 채용에서 고위공직자나 채용업무 담당자의 가족을 뽑는 것은 금지되고, 이를 지시·유도·묵인하는 것도 함께 금지됩니다.</t>
        </is>
      </c>
      <c r="K28" s="36" t="inlineStr">
        <is>
          <t>이해충돌방지법 §11</t>
        </is>
      </c>
      <c r="L28" s="31" t="inlineStr"/>
      <c r="M28" s="32" t="inlineStr"/>
    </row>
    <row r="29" ht="78" customHeight="1">
      <c r="A29" s="27" t="inlineStr">
        <is>
          <t>C1-25</t>
        </is>
      </c>
      <c r="B29" s="28" t="inlineStr">
        <is>
          <t>MC4</t>
        </is>
      </c>
      <c r="C29" s="28" t="inlineStr">
        <is>
          <t>L2</t>
        </is>
      </c>
      <c r="D29" s="29" t="inlineStr">
        <is>
          <t>청렴</t>
        </is>
      </c>
      <c r="E29" s="29" t="inlineStr">
        <is>
          <t>신규 후보</t>
        </is>
      </c>
      <c r="F29" s="29" t="inlineStr"/>
      <c r="G29" s="29" t="inlineStr">
        <is>
          <t>이해충돌방지법상 공공기관이 수의계약을 체결할 수 없는 상대는?</t>
        </is>
      </c>
      <c r="H29" s="29" t="inlineStr">
        <is>
          <t>1. 해당 기관과 거래한 적이 없는 신생 업체
2. 소속 고위공직자나 계약업무 담당자의 배우자가 대표인 업체  ✔
3. 공개입찰에 여러 번 참여한 업체
4. 다른 지역에 본사를 둔 업체</t>
        </is>
      </c>
      <c r="I29" s="28" t="inlineStr">
        <is>
          <t>2번</t>
        </is>
      </c>
      <c r="J29" s="29" t="inlineStr">
        <is>
          <t>고위공직자·계약업무 담당자와 그 배우자·직계존비속, 이들이 대표인 법인 등은 수의계약 상대가 될 수 없습니다. 물품 생산자가 1명뿐인 경우처럼 대통령령이 정한 불가피한 사유만 예외입니다.</t>
        </is>
      </c>
      <c r="K29" s="30" t="inlineStr">
        <is>
          <t>이해충돌방지법 §12</t>
        </is>
      </c>
      <c r="L29" s="31" t="inlineStr"/>
      <c r="M29" s="32" t="inlineStr"/>
    </row>
    <row r="30" ht="78" customHeight="1">
      <c r="A30" s="33" t="inlineStr">
        <is>
          <t>C1-26</t>
        </is>
      </c>
      <c r="B30" s="34" t="inlineStr">
        <is>
          <t>MC4</t>
        </is>
      </c>
      <c r="C30" s="34" t="inlineStr">
        <is>
          <t>L1</t>
        </is>
      </c>
      <c r="D30" s="35" t="inlineStr">
        <is>
          <t>청렴</t>
        </is>
      </c>
      <c r="E30" s="35" t="inlineStr">
        <is>
          <t>신규 후보</t>
        </is>
      </c>
      <c r="F30" s="35" t="inlineStr"/>
      <c r="G30" s="35" t="inlineStr">
        <is>
          <t>이해충돌방지법상 퇴직자와의 '사적 접촉' 신고 대상 행위는?</t>
        </is>
      </c>
      <c r="H30" s="35" t="inlineStr">
        <is>
          <t>1. 골프, 여행, 사행성 오락을 함께 하는 행위  ✔
2. 업무상 필요한 전화 통화
3. 공개된 학술 세미나에서 인사하는 행위
4. 부서 공식 행사에 초청하는 행위</t>
        </is>
      </c>
      <c r="I30" s="34" t="inlineStr">
        <is>
          <t>1번</t>
        </is>
      </c>
      <c r="J30" s="35" t="inlineStr">
        <is>
          <t>골프·여행·사행성 오락 세 가지가 신고 대상 사적 접촉입니다. 업무상 접촉이나 사회상규상 허용되는 접촉까지 막는 제도는 아닙니다.</t>
        </is>
      </c>
      <c r="K30" s="36" t="inlineStr">
        <is>
          <t>이해충돌방지법 §15①</t>
        </is>
      </c>
      <c r="L30" s="31" t="inlineStr"/>
      <c r="M30" s="32" t="inlineStr"/>
    </row>
    <row r="31" ht="78" customHeight="1">
      <c r="A31" s="27" t="inlineStr">
        <is>
          <t>C1-27</t>
        </is>
      </c>
      <c r="B31" s="28" t="inlineStr">
        <is>
          <t>MC4</t>
        </is>
      </c>
      <c r="C31" s="28" t="inlineStr">
        <is>
          <t>L2</t>
        </is>
      </c>
      <c r="D31" s="29" t="inlineStr">
        <is>
          <t>청렴</t>
        </is>
      </c>
      <c r="E31" s="29" t="inlineStr">
        <is>
          <t>신규 후보</t>
        </is>
      </c>
      <c r="F31" s="29" t="inlineStr"/>
      <c r="G31" s="29" t="inlineStr">
        <is>
          <t>퇴직자 사적 접촉 신고 의무가 생기는 상대방의 요건으로 옳은 것은?</t>
        </is>
      </c>
      <c r="H31" s="29" t="inlineStr">
        <is>
          <t>1. 퇴직한 소속 기관 직원 전원
2. 직무관련자이면서 퇴직한 지 2년이 지나지 않은 소속 기관 퇴직자  ✔
3. 퇴직한 지 5년이 지나지 않은 모든 퇴직자
4. 퇴직 후 재취업한 사람만</t>
        </is>
      </c>
      <c r="I31" s="28" t="inlineStr">
        <is>
          <t>2번</t>
        </is>
      </c>
      <c r="J31" s="29" t="inlineStr">
        <is>
          <t>'우리 기관 퇴직자'이면서 '퇴직 후 2년 이내'이고 '현재 내 직무관련자'라는 세 조건이 모두 맞아야 신고 대상입니다. 셋 중 하나라도 빠지면 신고 의무는 없습니다.</t>
        </is>
      </c>
      <c r="K31" s="30" t="inlineStr">
        <is>
          <t>이해충돌방지법 §15①</t>
        </is>
      </c>
      <c r="L31" s="31" t="inlineStr"/>
      <c r="M31" s="32" t="inlineStr"/>
    </row>
    <row r="32" ht="78" customHeight="1">
      <c r="A32" s="33" t="inlineStr">
        <is>
          <t>C1-28</t>
        </is>
      </c>
      <c r="B32" s="34" t="inlineStr">
        <is>
          <t>MC4</t>
        </is>
      </c>
      <c r="C32" s="34" t="inlineStr">
        <is>
          <t>L2</t>
        </is>
      </c>
      <c r="D32" s="35" t="inlineStr">
        <is>
          <t>청렴</t>
        </is>
      </c>
      <c r="E32" s="35" t="inlineStr">
        <is>
          <t>신규 후보</t>
        </is>
      </c>
      <c r="F32" s="35" t="inlineStr"/>
      <c r="G32" s="35" t="inlineStr">
        <is>
          <t>이해충돌방지법상 직무관련자와의 거래 신고 대상이 아닌 것은?</t>
        </is>
      </c>
      <c r="H32" s="35" t="inlineStr">
        <is>
          <t>1. 직무관련자에게 돈을 빌리는 행위
2. 직무관련자와 부동산을 거래하는 행위
3. 직무관련자와 물품·용역·공사 계약을 체결하는 행위
4. 은행에서 통상적인 조건으로 대출을 받는 행위  ✔</t>
        </is>
      </c>
      <c r="I32" s="34" t="inlineStr">
        <is>
          <t>4번</t>
        </is>
      </c>
      <c r="J32" s="35" t="inlineStr">
        <is>
          <t>금전 대차·유가증권 거래, 부동산 거래, 물품·용역·공사 계약이 신고 대상이고 안 날부터 14일 이내에 신고합니다. 금융회사에서 통상적인 조건으로 받는 대출과 민법상 친족과의 거래는 제외됩니다.</t>
        </is>
      </c>
      <c r="K32" s="36" t="inlineStr">
        <is>
          <t>이해충돌방지법 §9①</t>
        </is>
      </c>
      <c r="L32" s="31" t="inlineStr"/>
      <c r="M32" s="32" t="inlineStr"/>
    </row>
    <row r="33" ht="48" customHeight="1">
      <c r="A33" s="27" t="inlineStr">
        <is>
          <t>C1-29</t>
        </is>
      </c>
      <c r="B33" s="28" t="inlineStr">
        <is>
          <t>OX</t>
        </is>
      </c>
      <c r="C33" s="28" t="inlineStr">
        <is>
          <t>L1</t>
        </is>
      </c>
      <c r="D33" s="29" t="inlineStr">
        <is>
          <t>청렴</t>
        </is>
      </c>
      <c r="E33" s="29" t="inlineStr">
        <is>
          <t>신규 후보</t>
        </is>
      </c>
      <c r="F33" s="29" t="inlineStr"/>
      <c r="G33" s="29" t="inlineStr">
        <is>
          <t>직무관련자에게 개인적으로 자문을 해 주고 대가를 받아도 근무시간 외에 한 일이라면 문제되지 않는다.</t>
        </is>
      </c>
      <c r="H33" s="29" t="inlineStr"/>
      <c r="I33" s="28" t="inlineStr">
        <is>
          <t>X</t>
        </is>
      </c>
      <c r="J33" s="29" t="inlineStr">
        <is>
          <t>직무관련자에게 사적으로 노무나 조언·자문을 제공하고 대가를 받는 것은 시간대와 무관하게 금지됩니다. 대가가 없더라도 직무 공정성을 해치면 별도로 문제가 될 수 있습니다.</t>
        </is>
      </c>
      <c r="K33" s="30" t="inlineStr">
        <is>
          <t>이해충돌방지법 §10 제1호</t>
        </is>
      </c>
      <c r="L33" s="31" t="inlineStr"/>
      <c r="M33" s="32" t="inlineStr"/>
    </row>
    <row r="34" ht="78" customHeight="1">
      <c r="A34" s="33" t="inlineStr">
        <is>
          <t>C1-30</t>
        </is>
      </c>
      <c r="B34" s="34" t="inlineStr">
        <is>
          <t>MC4</t>
        </is>
      </c>
      <c r="C34" s="34" t="inlineStr">
        <is>
          <t>L1</t>
        </is>
      </c>
      <c r="D34" s="35" t="inlineStr">
        <is>
          <t>청렴</t>
        </is>
      </c>
      <c r="E34" s="35" t="inlineStr">
        <is>
          <t>신규 후보</t>
        </is>
      </c>
      <c r="F34" s="35" t="inlineStr"/>
      <c r="G34" s="35" t="inlineStr">
        <is>
          <t>이해충돌방지법상 '공공기관 물품 등의 사적 사용·수익 금지'에 위반되는 것은?</t>
        </is>
      </c>
      <c r="H34" s="35" t="inlineStr">
        <is>
          <t>1. 업무 출장에 관용차를 이용하는 것
2. 주말 개인 이사에 기관 차량을 쓰는 것  ✔
3. 회의 준비를 위해 기관 회의실을 예약하는 것
4. 업무용 노트북으로 보고서를 작성하는 것</t>
        </is>
      </c>
      <c r="I34" s="34" t="inlineStr">
        <is>
          <t>2번</t>
        </is>
      </c>
      <c r="J34" s="35" t="inlineStr">
        <is>
          <t>기관이 소유하거나 임차한 물품·차량·건물·시설을 사적으로 쓰거나 제3자가 쓰게 하면 위반입니다. 금액이 작더라도, 나중에 되돌려 놓았더라도 사용 자체가 문제입니다.</t>
        </is>
      </c>
      <c r="K34" s="36" t="inlineStr">
        <is>
          <t>이해충돌방지법 §13</t>
        </is>
      </c>
      <c r="L34" s="31" t="inlineStr"/>
      <c r="M34" s="32" t="inlineStr"/>
    </row>
    <row r="35" ht="48" customHeight="1">
      <c r="A35" s="27" t="inlineStr">
        <is>
          <t>C1-31</t>
        </is>
      </c>
      <c r="B35" s="28" t="inlineStr">
        <is>
          <t>OX</t>
        </is>
      </c>
      <c r="C35" s="28" t="inlineStr">
        <is>
          <t>L1</t>
        </is>
      </c>
      <c r="D35" s="29" t="inlineStr">
        <is>
          <t>청렴</t>
        </is>
      </c>
      <c r="E35" s="29" t="inlineStr">
        <is>
          <t>신규 후보</t>
        </is>
      </c>
      <c r="F35" s="29" t="inlineStr"/>
      <c r="G35" s="29" t="inlineStr">
        <is>
          <t>업무용 복합기로 개인 자료를 대량 출력하는 정도는 금액이 작으므로 문제되지 않는다.</t>
        </is>
      </c>
      <c r="H35" s="29" t="inlineStr"/>
      <c r="I35" s="28" t="inlineStr">
        <is>
          <t>X</t>
        </is>
      </c>
      <c r="J35" s="29" t="inlineStr">
        <is>
          <t>공공기관 물품의 사적 사용에는 별도의 금액 기준이 없습니다. 소액이라 괜찮다는 판단이 쌓이면 기준 자체가 무너지므로, 애매하면 행동강령책임관에게 확인하는 편이 안전합니다.</t>
        </is>
      </c>
      <c r="K35" s="30" t="inlineStr">
        <is>
          <t>이해충돌방지법 §13</t>
        </is>
      </c>
      <c r="L35" s="31" t="inlineStr"/>
      <c r="M35" s="32" t="inlineStr"/>
    </row>
    <row r="36" ht="78" customHeight="1">
      <c r="A36" s="33" t="inlineStr">
        <is>
          <t>C1-32</t>
        </is>
      </c>
      <c r="B36" s="34" t="inlineStr">
        <is>
          <t>MC4</t>
        </is>
      </c>
      <c r="C36" s="34" t="inlineStr">
        <is>
          <t>L3</t>
        </is>
      </c>
      <c r="D36" s="35" t="inlineStr">
        <is>
          <t>청렴</t>
        </is>
      </c>
      <c r="E36" s="35" t="inlineStr">
        <is>
          <t>신규 후보</t>
        </is>
      </c>
      <c r="F36" s="35" t="inlineStr"/>
      <c r="G36" s="35" t="inlineStr">
        <is>
          <t>직무수행 중 알게 된 비밀이나 미공개 정보를 이용해 재산상 이익을 얻은 공직자에 대한 벌칙은?</t>
        </is>
      </c>
      <c r="H36" s="35" t="inlineStr">
        <is>
          <t>1. 3천만원 이하 과태료
2. 1년 이하 징역 또는 1천만원 이하 벌금
3. 7년 이하 징역 또는 7천만원 이하 벌금  ✔
4. 징계 처분만 가능</t>
        </is>
      </c>
      <c r="I36" s="34" t="inlineStr">
        <is>
          <t>3번</t>
        </is>
      </c>
      <c r="J36" s="35" t="inlineStr">
        <is>
          <t>이해충돌방지법에서 가장 무거운 벌칙이고 징역과 벌금을 함께 부과할 수도 있습니다. 정보를 받아 이익을 얻은 제3자도 5년 이하 징역 또는 5천만원 이하 벌금 대상입니다.</t>
        </is>
      </c>
      <c r="K36" s="36" t="inlineStr">
        <is>
          <t>이해충돌방지법 §14·§27</t>
        </is>
      </c>
      <c r="L36" s="31" t="inlineStr"/>
      <c r="M36" s="32" t="inlineStr"/>
    </row>
    <row r="37" ht="78" customHeight="1">
      <c r="A37" s="27" t="inlineStr">
        <is>
          <t>C1-33</t>
        </is>
      </c>
      <c r="B37" s="28" t="inlineStr">
        <is>
          <t>MC4</t>
        </is>
      </c>
      <c r="C37" s="28" t="inlineStr">
        <is>
          <t>L2</t>
        </is>
      </c>
      <c r="D37" s="29" t="inlineStr">
        <is>
          <t>청렴</t>
        </is>
      </c>
      <c r="E37" s="29" t="inlineStr">
        <is>
          <t>신규 후보</t>
        </is>
      </c>
      <c r="F37" s="29" t="inlineStr"/>
      <c r="G37" s="29" t="inlineStr">
        <is>
          <t>다음 중 직무 관련 정보 이용 금지에 저촉될 가능성이 가장 큰 행동은?</t>
        </is>
      </c>
      <c r="H37" s="29" t="inlineStr">
        <is>
          <t>1. 이미 공고된 시험 일정을 지인에게 알려 주는 것
2. 공개 전인 출제 방향을 아는 상태에서 지인의 수험 준비를 도와주는 것  ✔
3. 이미 공표된 훈련기관 평가 결과를 설명해 주는 것
4. 홈페이지에 게시된 사업 공고를 공유하는 것</t>
        </is>
      </c>
      <c r="I37" s="28" t="inlineStr">
        <is>
          <t>2번</t>
        </is>
      </c>
      <c r="J37" s="29" t="inlineStr">
        <is>
          <t>이미 공개된 정보를 전달하는 것은 문제가 아니지만, 아직 공개되지 않은 정보는 이용도 제공도 금지됩니다. 판단 기준은 '내가 그 자리에 없었어도 알 수 있었나'입니다.</t>
        </is>
      </c>
      <c r="K37" s="30" t="inlineStr">
        <is>
          <t>이해충돌방지법 §14·공무원 행동강령 §12</t>
        </is>
      </c>
      <c r="L37" s="31" t="inlineStr"/>
      <c r="M37" s="32" t="inlineStr"/>
    </row>
    <row r="38" ht="78" customHeight="1">
      <c r="A38" s="33" t="inlineStr">
        <is>
          <t>C1-34</t>
        </is>
      </c>
      <c r="B38" s="34" t="inlineStr">
        <is>
          <t>MC4</t>
        </is>
      </c>
      <c r="C38" s="34" t="inlineStr">
        <is>
          <t>L2</t>
        </is>
      </c>
      <c r="D38" s="35" t="inlineStr">
        <is>
          <t>청렴</t>
        </is>
      </c>
      <c r="E38" s="35" t="inlineStr">
        <is>
          <t>신규 후보</t>
        </is>
      </c>
      <c r="F38" s="35" t="inlineStr"/>
      <c r="G38" s="35" t="inlineStr">
        <is>
          <t>상급자가 공정한 직무수행을 현저히 해치는 부당한 지시를 했을 때 행동강령이 정한 처리 방법은?</t>
        </is>
      </c>
      <c r="H38" s="35" t="inlineStr">
        <is>
          <t>1. 일단 이행하고 나중에 문제 삼는다
2. 상급자에게 사유를 소명하고 따르지 않을 수 있으며, 행동강령책임관과 상담할 수 있다  ✔
3. 곧바로 외부 기관에 신고해야 한다
4. 동료와 상의해 함께 이행 여부를 정한다</t>
        </is>
      </c>
      <c r="I38" s="34" t="inlineStr">
        <is>
          <t>2번</t>
        </is>
      </c>
      <c r="J38" s="35" t="inlineStr">
        <is>
          <t>소명한 뒤 이행하지 않을 수 있고, 같은 지시가 반복되면 즉시 행동강령책임관과 상담해야 합니다. 지시를 따르지 않았다는 이유로 불이익을 줄 수 없고, 반복 지시를 한 상급자는 징계 대상이 됩니다.</t>
        </is>
      </c>
      <c r="K38" s="36" t="inlineStr">
        <is>
          <t>공무원 행동강령 §4·공직유관단체 임직원 행동강령 표준안</t>
        </is>
      </c>
      <c r="L38" s="31" t="inlineStr"/>
      <c r="M38" s="32" t="inlineStr"/>
    </row>
    <row r="39" ht="78" customHeight="1">
      <c r="A39" s="27" t="inlineStr">
        <is>
          <t>C1-35</t>
        </is>
      </c>
      <c r="B39" s="28" t="inlineStr">
        <is>
          <t>MC4</t>
        </is>
      </c>
      <c r="C39" s="28" t="inlineStr">
        <is>
          <t>L1</t>
        </is>
      </c>
      <c r="D39" s="29" t="inlineStr">
        <is>
          <t>청렴</t>
        </is>
      </c>
      <c r="E39" s="29" t="inlineStr">
        <is>
          <t>신규 후보</t>
        </is>
      </c>
      <c r="F39" s="29" t="inlineStr"/>
      <c r="G39" s="29" t="inlineStr">
        <is>
          <t>행동강령이 금지하는 '직무권한 등을 행사한 부당 행위'(이른바 갑질)에 해당하는 것은?</t>
        </is>
      </c>
      <c r="H39" s="29" t="inlineStr">
        <is>
          <t>1. 업무 범위 안에서 기한을 정해 업무를 지시하는 것
2. 직무와 관계없는 사적인 일을 부하 직원에게 시키는 것  ✔
3. 업무 성과를 근거로 평가하는 것
4. 필요한 자료의 제출을 요구하는 것</t>
        </is>
      </c>
      <c r="I39" s="28" t="inlineStr">
        <is>
          <t>2번</t>
        </is>
      </c>
      <c r="J39" s="29" t="inlineStr">
        <is>
          <t>직무와 무관하거나 직무 범위를 벗어난 부당한 지시·요구는 금지된 부당 행위입니다. 사적 노무 요구는 별도 조항으로도 금지되어 있습니다.</t>
        </is>
      </c>
      <c r="K39" s="30" t="inlineStr">
        <is>
          <t>공무원 행동강령 §13의2·§13의3</t>
        </is>
      </c>
      <c r="L39" s="31" t="inlineStr"/>
      <c r="M39" s="32" t="inlineStr"/>
    </row>
    <row r="40" ht="48" customHeight="1">
      <c r="A40" s="33" t="inlineStr">
        <is>
          <t>C1-36</t>
        </is>
      </c>
      <c r="B40" s="34" t="inlineStr">
        <is>
          <t>OX</t>
        </is>
      </c>
      <c r="C40" s="34" t="inlineStr">
        <is>
          <t>L1</t>
        </is>
      </c>
      <c r="D40" s="35" t="inlineStr">
        <is>
          <t>청렴</t>
        </is>
      </c>
      <c r="E40" s="35" t="inlineStr">
        <is>
          <t>신규 후보</t>
        </is>
      </c>
      <c r="F40" s="35" t="inlineStr"/>
      <c r="G40" s="35" t="inlineStr">
        <is>
          <t>부서 워크숍 예산이 남았을 때 다른 목적의 회식비로 쓰는 것은 허용된다.</t>
        </is>
      </c>
      <c r="H40" s="35" t="inlineStr"/>
      <c r="I40" s="34" t="inlineStr">
        <is>
          <t>X</t>
        </is>
      </c>
      <c r="J40" s="35" t="inlineStr">
        <is>
          <t>예산은 편성된 목적대로만 집행해야 하며, 남았다는 이유로 용도를 바꾸는 것은 행동강령 위반입니다. 잔액은 반납하거나 정해진 절차로 변경 승인을 받아야 합니다.</t>
        </is>
      </c>
      <c r="K40" s="36" t="inlineStr">
        <is>
          <t>공무원 행동강령 §7</t>
        </is>
      </c>
      <c r="L40" s="31" t="inlineStr"/>
      <c r="M40" s="32" t="inlineStr"/>
    </row>
    <row r="41" ht="78" customHeight="1">
      <c r="A41" s="27" t="inlineStr">
        <is>
          <t>C1-37</t>
        </is>
      </c>
      <c r="B41" s="28" t="inlineStr">
        <is>
          <t>MC4</t>
        </is>
      </c>
      <c r="C41" s="28" t="inlineStr">
        <is>
          <t>L1</t>
        </is>
      </c>
      <c r="D41" s="29" t="inlineStr">
        <is>
          <t>청렴</t>
        </is>
      </c>
      <c r="E41" s="29" t="inlineStr">
        <is>
          <t>신규 후보</t>
        </is>
      </c>
      <c r="F41" s="29" t="inlineStr"/>
      <c r="G41" s="29" t="inlineStr">
        <is>
          <t>행동강령이 금지하는 '이권 개입 및 알선·청탁'에 해당하는 것은?</t>
        </is>
      </c>
      <c r="H41" s="29" t="inlineStr">
        <is>
          <t>1. 소관 업무의 처리 절차를 규정대로 안내하는 것
2. 자기 지위를 이용해 지인의 사업이 유리해지도록 다른 기관 직원에게 부탁하는 것  ✔
3. 민원인에게 관련 법령을 설명하는 것
4. 타 부서에 정식 공문으로 협조를 요청하는 것</t>
        </is>
      </c>
      <c r="I41" s="28" t="inlineStr">
        <is>
          <t>2번</t>
        </is>
      </c>
      <c r="J41" s="29" t="inlineStr">
        <is>
          <t>지위나 사실상의 영향력을 이용해 자신이나 타인의 이익을 위해 개입하거나 알선하는 것이 금지됩니다. 정식 절차를 통한 협조 요청과는 분명히 구분됩니다.</t>
        </is>
      </c>
      <c r="K41" s="30" t="inlineStr">
        <is>
          <t>공무원 행동강령 §10·§11</t>
        </is>
      </c>
      <c r="L41" s="31" t="inlineStr"/>
      <c r="M41" s="32" t="inlineStr"/>
    </row>
    <row r="42" ht="48" customHeight="1">
      <c r="A42" s="33" t="inlineStr">
        <is>
          <t>C1-38</t>
        </is>
      </c>
      <c r="B42" s="34" t="inlineStr">
        <is>
          <t>SHORT</t>
        </is>
      </c>
      <c r="C42" s="34" t="inlineStr">
        <is>
          <t>L1</t>
        </is>
      </c>
      <c r="D42" s="35" t="inlineStr">
        <is>
          <t>청렴</t>
        </is>
      </c>
      <c r="E42" s="35" t="inlineStr">
        <is>
          <t>신규 후보</t>
        </is>
      </c>
      <c r="F42" s="35" t="inlineStr"/>
      <c r="G42" s="35" t="inlineStr">
        <is>
          <t>부패행위와 공익침해행위를 신고할 수 있는 국민권익위원회 대표 신고 전화번호 네 자리는?</t>
        </is>
      </c>
      <c r="H42" s="35" t="inlineStr"/>
      <c r="I42" s="34" t="inlineStr">
        <is>
          <t>1398</t>
        </is>
      </c>
      <c r="J42" s="35" t="inlineStr">
        <is>
          <t>국번 없이 1398이며 청렴포털(clean.go.kr)에서도 신고할 수 있습니다. 공직자는 다른 공직자의 부패행위를 알게 되면 신고할 의무가 있다는 점도 함께 기억해 두십시오.</t>
        </is>
      </c>
      <c r="K42" s="36" t="inlineStr">
        <is>
          <t>부패방지권익위법 §55·§56</t>
        </is>
      </c>
      <c r="L42" s="31" t="inlineStr"/>
      <c r="M42" s="32" t="inlineStr"/>
    </row>
    <row r="43" ht="78" customHeight="1">
      <c r="A43" s="27" t="inlineStr">
        <is>
          <t>C1-39</t>
        </is>
      </c>
      <c r="B43" s="28" t="inlineStr">
        <is>
          <t>MC4</t>
        </is>
      </c>
      <c r="C43" s="28" t="inlineStr">
        <is>
          <t>L1</t>
        </is>
      </c>
      <c r="D43" s="29" t="inlineStr">
        <is>
          <t>청렴</t>
        </is>
      </c>
      <c r="E43" s="29" t="inlineStr">
        <is>
          <t>신규 후보</t>
        </is>
      </c>
      <c r="F43" s="29" t="inlineStr"/>
      <c r="G43" s="29" t="inlineStr">
        <is>
          <t>부패행위 신고자가 법으로 보장받는 보호에 해당하지 않는 것은?</t>
        </is>
      </c>
      <c r="H43" s="29" t="inlineStr">
        <is>
          <t>1. 신고자의 비밀보장
2. 신분보장 및 불이익조치 금지
3. 신변보호조치
4. 신고 내용이 사실로 확인될 때까지 급여 지급 중단  ✔</t>
        </is>
      </c>
      <c r="I43" s="28" t="inlineStr">
        <is>
          <t>4번</t>
        </is>
      </c>
      <c r="J43" s="29" t="inlineStr">
        <is>
          <t>비밀보장, 신분보장과 불이익조치 금지, 신변보호, 책임감면이 법이 정한 보호 장치입니다. 신고와 관련해 본인의 위법행위가 드러나도 형벌이나 징계를 감경·면제받을 수 있습니다.</t>
        </is>
      </c>
      <c r="K43" s="30" t="inlineStr">
        <is>
          <t>부패방지권익위법 §62·§64·§64의2·§66</t>
        </is>
      </c>
      <c r="L43" s="31" t="inlineStr"/>
      <c r="M43" s="32" t="inlineStr"/>
    </row>
    <row r="44" ht="78" customHeight="1">
      <c r="A44" s="33" t="inlineStr">
        <is>
          <t>C1-40</t>
        </is>
      </c>
      <c r="B44" s="34" t="inlineStr">
        <is>
          <t>MC4</t>
        </is>
      </c>
      <c r="C44" s="34" t="inlineStr">
        <is>
          <t>L3</t>
        </is>
      </c>
      <c r="D44" s="35" t="inlineStr">
        <is>
          <t>청렴</t>
        </is>
      </c>
      <c r="E44" s="35" t="inlineStr">
        <is>
          <t>신규 후보</t>
        </is>
      </c>
      <c r="F44" s="35" t="inlineStr"/>
      <c r="G44" s="35" t="inlineStr">
        <is>
          <t>부패행위 신고로 공공기관에 직접적인 수입 회복이나 비용 절감을 가져왔을 때 받을 수 있는 보상금의 최고 한도는?</t>
        </is>
      </c>
      <c r="H44" s="35" t="inlineStr">
        <is>
          <t>1. 1억원
2. 5억원
3. 30억원  ✔
4. 한도 없음</t>
        </is>
      </c>
      <c r="I44" s="34" t="inlineStr">
        <is>
          <t>3번</t>
        </is>
      </c>
      <c r="J44" s="35" t="inlineStr">
        <is>
          <t>보상금은 최고 30억원이고, 공익 증진 등에 기여한 경우 지급하는 포상금은 최고 5억원입니다. 신분 노출이 걱정되면 변호사를 통한 비실명 대리신고도 할 수 있습니다.</t>
        </is>
      </c>
      <c r="K44" s="36" t="inlineStr">
        <is>
          <t>부패방지권익위법 §68·§58의2</t>
        </is>
      </c>
      <c r="L44" s="31" t="inlineStr"/>
      <c r="M44" s="32" t="inlineStr"/>
    </row>
  </sheetData>
  <autoFilter ref="A4:M44"/>
  <dataValidations count="1">
    <dataValidation sqref="L5:L44" showDropDown="0" showInputMessage="0" showErrorMessage="0" allowBlank="1" type="list">
      <formula1>"채택,보류,제외"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13" customWidth="1" min="4" max="4"/>
    <col width="12" customWidth="1" min="5" max="5"/>
    <col width="8" customWidth="1" min="6" max="6"/>
    <col width="52" customWidth="1" min="7" max="7"/>
    <col width="50" customWidth="1" min="8" max="8"/>
    <col width="11" customWidth="1" min="9" max="9"/>
    <col width="56" customWidth="1" min="10" max="10"/>
    <col width="22" customWidth="1" min="11" max="11"/>
    <col width="8" customWidth="1" min="12" max="12"/>
    <col width="30" customWidth="1" min="13" max="13"/>
  </cols>
  <sheetData>
    <row r="1">
      <c r="A1" s="37" t="inlineStr">
        <is>
          <t>적극행정 35</t>
        </is>
      </c>
      <c r="G1" s="38">
        <f>CONCATENATE("채택 ",COUNTIF($L$5:$L$39,"채택"),"개  ·  목표 18개  ·  보류 ",COUNTIF($L$5:$L$39,"보류"),"개  ·  제외 ",COUNTIF($L$5:$L$39,"제외"),"개")</f>
        <v/>
      </c>
    </row>
    <row r="2">
      <c r="A2" s="25" t="inlineStr">
        <is>
          <t>신규 후보입니다. 2026년 8월 기준 현행 조문으로 작성했습니다. 채택 열에서 채택·보류·제외를 골라 주십시오.</t>
        </is>
      </c>
    </row>
    <row r="4" ht="22" customHeight="1">
      <c r="A4" s="39" t="inlineStr">
        <is>
          <t>번호</t>
        </is>
      </c>
      <c r="B4" s="39" t="inlineStr">
        <is>
          <t>유형</t>
        </is>
      </c>
      <c r="C4" s="39" t="inlineStr">
        <is>
          <t>난이도</t>
        </is>
      </c>
      <c r="D4" s="39" t="inlineStr">
        <is>
          <t>영역</t>
        </is>
      </c>
      <c r="E4" s="39" t="inlineStr">
        <is>
          <t>역할</t>
        </is>
      </c>
      <c r="F4" s="39" t="inlineStr">
        <is>
          <t>회차</t>
        </is>
      </c>
      <c r="G4" s="39" t="inlineStr">
        <is>
          <t>문항</t>
        </is>
      </c>
      <c r="H4" s="39" t="inlineStr">
        <is>
          <t>선택지</t>
        </is>
      </c>
      <c r="I4" s="39" t="inlineStr">
        <is>
          <t>정답</t>
        </is>
      </c>
      <c r="J4" s="39" t="inlineStr">
        <is>
          <t>해설</t>
        </is>
      </c>
      <c r="K4" s="39" t="inlineStr">
        <is>
          <t>근거</t>
        </is>
      </c>
      <c r="L4" s="39" t="inlineStr">
        <is>
          <t>채택</t>
        </is>
      </c>
      <c r="M4" s="39" t="inlineStr">
        <is>
          <t>검토 의견</t>
        </is>
      </c>
    </row>
    <row r="5" ht="78" customHeight="1">
      <c r="A5" s="40" t="inlineStr">
        <is>
          <t>C2-01</t>
        </is>
      </c>
      <c r="B5" s="41" t="inlineStr">
        <is>
          <t>MC4</t>
        </is>
      </c>
      <c r="C5" s="41" t="inlineStr">
        <is>
          <t>L1</t>
        </is>
      </c>
      <c r="D5" s="42" t="inlineStr">
        <is>
          <t>적극행정</t>
        </is>
      </c>
      <c r="E5" s="42" t="inlineStr">
        <is>
          <t>신규 후보</t>
        </is>
      </c>
      <c r="F5" s="42" t="inlineStr"/>
      <c r="G5" s="42" t="inlineStr">
        <is>
          <t>「적극행정 운영규정」이 정한 적극행정의 정의로 옳은 것은?</t>
        </is>
      </c>
      <c r="H5" s="42" t="inlineStr">
        <is>
          <t>1. 상급자의 지시를 신속하고 정확하게 이행하는 행위
2. 불합리한 규제를 개선하는 등 공공의 이익을 위해 창의성과 전문성을 바탕으로 적극적으로 업무를 처리하는 행위  ✔
3. 정해진 절차와 기한을 빠짐없이 지켜 업무를 처리하는 행위
4. 민원인이 요구하는 내용을 최대한 수용해 처리하는 행위</t>
        </is>
      </c>
      <c r="I5" s="41" t="inlineStr">
        <is>
          <t>2번</t>
        </is>
      </c>
      <c r="J5" s="42" t="inlineStr">
        <is>
          <t>판단 기준은 '공공의 이익'입니다. 절차 준수나 지시 이행은 당연한 의무일 뿐이고, 민원인 요구를 그대로 들어주는 것도 적극행정이 아닙니다.</t>
        </is>
      </c>
      <c r="K5" s="43" t="inlineStr">
        <is>
          <t>적극행정 운영규정 §2 제1호</t>
        </is>
      </c>
      <c r="L5" s="31" t="inlineStr"/>
      <c r="M5" s="32" t="inlineStr"/>
    </row>
    <row r="6" ht="48" customHeight="1">
      <c r="A6" s="44" t="inlineStr">
        <is>
          <t>C2-02</t>
        </is>
      </c>
      <c r="B6" s="34" t="inlineStr">
        <is>
          <t>OX</t>
        </is>
      </c>
      <c r="C6" s="34" t="inlineStr">
        <is>
          <t>L1</t>
        </is>
      </c>
      <c r="D6" s="35" t="inlineStr">
        <is>
          <t>적극행정</t>
        </is>
      </c>
      <c r="E6" s="35" t="inlineStr">
        <is>
          <t>신규 후보</t>
        </is>
      </c>
      <c r="F6" s="35" t="inlineStr"/>
      <c r="G6" s="35" t="inlineStr">
        <is>
          <t>합리적 이유 없이 맡은 업무를 미루거나 처리하지 않는 것도 소극행정에 해당한다.</t>
        </is>
      </c>
      <c r="H6" s="35" t="inlineStr"/>
      <c r="I6" s="34" t="inlineStr">
        <is>
          <t>O</t>
        </is>
      </c>
      <c r="J6" s="35" t="inlineStr">
        <is>
          <t>소극행정은 부작위·직무태만 등 소극적 업무행태로 국민의 권익을 침해하거나 국가 재정상 손실을 발생시키는 행위입니다. 미루는 것 자체가 유형에 포함됩니다.</t>
        </is>
      </c>
      <c r="K6" s="36" t="inlineStr">
        <is>
          <t>적극행정 운영규정 §2 제2호</t>
        </is>
      </c>
      <c r="L6" s="31" t="inlineStr"/>
      <c r="M6" s="32" t="inlineStr"/>
    </row>
    <row r="7" ht="78" customHeight="1">
      <c r="A7" s="40" t="inlineStr">
        <is>
          <t>C2-03</t>
        </is>
      </c>
      <c r="B7" s="41" t="inlineStr">
        <is>
          <t>MC4</t>
        </is>
      </c>
      <c r="C7" s="41" t="inlineStr">
        <is>
          <t>L1</t>
        </is>
      </c>
      <c r="D7" s="42" t="inlineStr">
        <is>
          <t>적극행정</t>
        </is>
      </c>
      <c r="E7" s="42" t="inlineStr">
        <is>
          <t>신규 후보</t>
        </is>
      </c>
      <c r="F7" s="42" t="inlineStr"/>
      <c r="G7" s="42" t="inlineStr">
        <is>
          <t>지침이 개정되었는데도 예전 방식대로 계속 처리하는 업무행태는 소극행정 4대 유형 중 무엇인가?</t>
        </is>
      </c>
      <c r="H7" s="42" t="inlineStr">
        <is>
          <t>1. 적당편의
2. 업무해태
3. 탁상행정  ✔
4. 기타 관중심 행정</t>
        </is>
      </c>
      <c r="I7" s="41" t="inlineStr">
        <is>
          <t>3번</t>
        </is>
      </c>
      <c r="J7" s="42" t="inlineStr">
        <is>
          <t>탁상행정은 법령·지침이 바뀌었는데도 과거 규정을 답습하거나 불합리한 기존 관행을 그대로 따르는 유형입니다.</t>
        </is>
      </c>
      <c r="K7" s="43" t="inlineStr">
        <is>
          <t>국민권익위원회 적극행정 제도안내(소극행정 4대 유형)</t>
        </is>
      </c>
      <c r="L7" s="31" t="inlineStr"/>
      <c r="M7" s="32" t="inlineStr"/>
    </row>
    <row r="8" ht="78" customHeight="1">
      <c r="A8" s="44" t="inlineStr">
        <is>
          <t>C2-04</t>
        </is>
      </c>
      <c r="B8" s="34" t="inlineStr">
        <is>
          <t>MC4</t>
        </is>
      </c>
      <c r="C8" s="34" t="inlineStr">
        <is>
          <t>L1</t>
        </is>
      </c>
      <c r="D8" s="35" t="inlineStr">
        <is>
          <t>적극행정</t>
        </is>
      </c>
      <c r="E8" s="35" t="inlineStr">
        <is>
          <t>신규 후보</t>
        </is>
      </c>
      <c r="F8" s="35" t="inlineStr"/>
      <c r="G8" s="35" t="inlineStr">
        <is>
          <t>문제 해결은 시도하지 않고 서류상 형식만 갖춰 부실하게 처리하는 업무행태는?</t>
        </is>
      </c>
      <c r="H8" s="35" t="inlineStr">
        <is>
          <t>1. 적당편의  ✔
2. 업무해태
3. 탁상행정
4. 기타 관중심 행정</t>
        </is>
      </c>
      <c r="I8" s="34" t="inlineStr">
        <is>
          <t>1번</t>
        </is>
      </c>
      <c r="J8" s="35" t="inlineStr">
        <is>
          <t>적당편의는 처리한 모양만 만들고 민원인의 문제는 그대로 두는 유형입니다. 결재는 끝났는데 상황이 달라진 것이 없다면 여기에 해당합니다.</t>
        </is>
      </c>
      <c r="K8" s="36" t="inlineStr">
        <is>
          <t>국민권익위원회 적극행정 제도안내(소극행정 4대 유형)</t>
        </is>
      </c>
      <c r="L8" s="31" t="inlineStr"/>
      <c r="M8" s="32" t="inlineStr"/>
    </row>
    <row r="9" ht="48" customHeight="1">
      <c r="A9" s="40" t="inlineStr">
        <is>
          <t>C2-05</t>
        </is>
      </c>
      <c r="B9" s="41" t="inlineStr">
        <is>
          <t>OX</t>
        </is>
      </c>
      <c r="C9" s="41" t="inlineStr">
        <is>
          <t>L1</t>
        </is>
      </c>
      <c r="D9" s="42" t="inlineStr">
        <is>
          <t>적극행정</t>
        </is>
      </c>
      <c r="E9" s="42" t="inlineStr">
        <is>
          <t>신규 후보</t>
        </is>
      </c>
      <c r="F9" s="42" t="inlineStr"/>
      <c r="G9" s="42" t="inlineStr">
        <is>
          <t>민원인이 요구하는 대로 최대한 들어주는 것이 적극행정이다.</t>
        </is>
      </c>
      <c r="H9" s="42" t="inlineStr"/>
      <c r="I9" s="41" t="inlineStr">
        <is>
          <t>X</t>
        </is>
      </c>
      <c r="J9" s="42" t="inlineStr">
        <is>
          <t>적극행정의 기준은 민원인의 만족이 아니라 공공의 이익입니다. 요구를 그대로 수용하는 것은 오히려 특혜나 부당한 처리가 될 수 있습니다.</t>
        </is>
      </c>
      <c r="K9" s="43" t="inlineStr">
        <is>
          <t>적극행정 운영규정 §2 제1호</t>
        </is>
      </c>
      <c r="L9" s="31" t="inlineStr"/>
      <c r="M9" s="32" t="inlineStr"/>
    </row>
    <row r="10" ht="78" customHeight="1">
      <c r="A10" s="44" t="inlineStr">
        <is>
          <t>C2-06</t>
        </is>
      </c>
      <c r="B10" s="34" t="inlineStr">
        <is>
          <t>MC4</t>
        </is>
      </c>
      <c r="C10" s="34" t="inlineStr">
        <is>
          <t>L1</t>
        </is>
      </c>
      <c r="D10" s="35" t="inlineStr">
        <is>
          <t>적극행정</t>
        </is>
      </c>
      <c r="E10" s="35" t="inlineStr">
        <is>
          <t>신규 후보</t>
        </is>
      </c>
      <c r="F10" s="35" t="inlineStr"/>
      <c r="G10" s="35" t="inlineStr">
        <is>
          <t>사전컨설팅 제도를 가장 정확하게 설명한 것은?</t>
        </is>
      </c>
      <c r="H10" s="35" t="inlineStr">
        <is>
          <t>1. 감사 결과에 이의가 있을 때 재심을 요청하는 제도
2. 규제나 불명확한 법령으로 업무 추진이 곤란할 때 감사기구에 미리 처리 방향에 관한 의견 제시를 요청하는 제도  ✔
3. 감사에서 지적될 사항을 사전에 통보받는 제도
4. 외부 전문가에게 정책 자문을 받는 제도</t>
        </is>
      </c>
      <c r="I10" s="34" t="inlineStr">
        <is>
          <t>2번</t>
        </is>
      </c>
      <c r="J10" s="35" t="inlineStr">
        <is>
          <t>일을 벌인 뒤 감사에서 다투는 것이 아니라, 하기 전에 판단 근거를 받아두는 제도입니다. 자체감사기구에 먼저 신청하는 것이 원칙입니다.</t>
        </is>
      </c>
      <c r="K10" s="36" t="inlineStr">
        <is>
          <t>적극행정 운영규정 §5</t>
        </is>
      </c>
      <c r="L10" s="31" t="inlineStr"/>
      <c r="M10" s="32" t="inlineStr"/>
    </row>
    <row r="11" ht="78" customHeight="1">
      <c r="A11" s="40" t="inlineStr">
        <is>
          <t>C2-07</t>
        </is>
      </c>
      <c r="B11" s="41" t="inlineStr">
        <is>
          <t>MC4</t>
        </is>
      </c>
      <c r="C11" s="41" t="inlineStr">
        <is>
          <t>L1</t>
        </is>
      </c>
      <c r="D11" s="42" t="inlineStr">
        <is>
          <t>적극행정</t>
        </is>
      </c>
      <c r="E11" s="42" t="inlineStr">
        <is>
          <t>신규 후보</t>
        </is>
      </c>
      <c r="F11" s="42" t="inlineStr"/>
      <c r="G11" s="42" t="inlineStr">
        <is>
          <t>적극행정 면책을 받기 위해 반드시 갖춰야 하는 요건에 해당하는 것은?</t>
        </is>
      </c>
      <c r="H11" s="42" t="inlineStr">
        <is>
          <t>1. 업무 결과가 성공적이었을 것
2. 상급자의 사전 승인을 받았을 것
3. 그 행위에 고의나 중대한 과실이 없을 것  ✔
4. 감사에서 지적을 받은 적이 없을 것</t>
        </is>
      </c>
      <c r="I11" s="41" t="inlineStr">
        <is>
          <t>3번</t>
        </is>
      </c>
      <c r="J11" s="42" t="inlineStr">
        <is>
          <t>면책은 결과가 좋았는지를 따지지 않습니다. 공익을 위해 적극적으로 처리했고 고의·중과실이 없으면 성과가 나빠도 책임을 묻지 않습니다.</t>
        </is>
      </c>
      <c r="K11" s="43" t="inlineStr">
        <is>
          <t>공공감사에 관한 법률 §23의2, 감사원법 §34의3</t>
        </is>
      </c>
      <c r="L11" s="31" t="inlineStr"/>
      <c r="M11" s="32" t="inlineStr"/>
    </row>
    <row r="12" ht="48" customHeight="1">
      <c r="A12" s="44" t="inlineStr">
        <is>
          <t>C2-08</t>
        </is>
      </c>
      <c r="B12" s="34" t="inlineStr">
        <is>
          <t>OX</t>
        </is>
      </c>
      <c r="C12" s="34" t="inlineStr">
        <is>
          <t>L1</t>
        </is>
      </c>
      <c r="D12" s="35" t="inlineStr">
        <is>
          <t>적극행정</t>
        </is>
      </c>
      <c r="E12" s="35" t="inlineStr">
        <is>
          <t>신규 후보</t>
        </is>
      </c>
      <c r="F12" s="35" t="inlineStr"/>
      <c r="G12" s="35" t="inlineStr">
        <is>
          <t>명확한 규정이 없는 사안은 근거가 없으므로 곧바로 불가 통보하는 것이 원칙이다.</t>
        </is>
      </c>
      <c r="H12" s="35" t="inlineStr"/>
      <c r="I12" s="34" t="inlineStr">
        <is>
          <t>X</t>
        </is>
      </c>
      <c r="J12" s="35" t="inlineStr">
        <is>
          <t>규정이 없거나 불명확한 상황이야말로 사전컨설팅과 적극행정위원회 의견 제시가 마련된 영역입니다. 검토 없는 즉시 거부는 소극행정으로 평가될 수 있습니다.</t>
        </is>
      </c>
      <c r="K12" s="36" t="inlineStr">
        <is>
          <t>적극행정 운영규정 §5·§13</t>
        </is>
      </c>
      <c r="L12" s="31" t="inlineStr"/>
      <c r="M12" s="32" t="inlineStr"/>
    </row>
    <row r="13" ht="78" customHeight="1">
      <c r="A13" s="40" t="inlineStr">
        <is>
          <t>C2-09</t>
        </is>
      </c>
      <c r="B13" s="41" t="inlineStr">
        <is>
          <t>MC4</t>
        </is>
      </c>
      <c r="C13" s="41" t="inlineStr">
        <is>
          <t>L1</t>
        </is>
      </c>
      <c r="D13" s="42" t="inlineStr">
        <is>
          <t>적극행정</t>
        </is>
      </c>
      <c r="E13" s="42" t="inlineStr">
        <is>
          <t>신규 후보</t>
        </is>
      </c>
      <c r="F13" s="42" t="inlineStr"/>
      <c r="G13" s="42" t="inlineStr">
        <is>
          <t>소극행정을 신고할 수 있는 사람은?</t>
        </is>
      </c>
      <c r="H13" s="42" t="inlineStr">
        <is>
          <t>1. 해당 기관 직원만
2. 직접 피해를 입은 민원인만
3. 누구든지 신고할 수 있다  ✔
4. 감사기구의 장만</t>
        </is>
      </c>
      <c r="I13" s="41" t="inlineStr">
        <is>
          <t>3번</t>
        </is>
      </c>
      <c r="J13" s="42" t="inlineStr">
        <is>
          <t>누구든지 기관의 장이나 국민권익위원회가 운영하는 소극행정 신고센터에 신고할 수 있고, 기관은 조사 후 결과를 신고인에게 알려야 합니다.</t>
        </is>
      </c>
      <c r="K13" s="43" t="inlineStr">
        <is>
          <t>적극행정 운영규정 §18의3</t>
        </is>
      </c>
      <c r="L13" s="31" t="inlineStr"/>
      <c r="M13" s="32" t="inlineStr"/>
    </row>
    <row r="14" ht="78" customHeight="1">
      <c r="A14" s="44" t="inlineStr">
        <is>
          <t>C2-10</t>
        </is>
      </c>
      <c r="B14" s="34" t="inlineStr">
        <is>
          <t>MC4</t>
        </is>
      </c>
      <c r="C14" s="34" t="inlineStr">
        <is>
          <t>L1</t>
        </is>
      </c>
      <c r="D14" s="35" t="inlineStr">
        <is>
          <t>적극행정</t>
        </is>
      </c>
      <c r="E14" s="35" t="inlineStr">
        <is>
          <t>신규 후보</t>
        </is>
      </c>
      <c r="F14" s="35" t="inlineStr"/>
      <c r="G14" s="35" t="inlineStr">
        <is>
          <t>적극행정 우수공무원에게 부여할 수 있는 인사상 우대 조치가 아닌 것은?</t>
        </is>
      </c>
      <c r="H14" s="35" t="inlineStr">
        <is>
          <t>1. 특별승진임용
2. 성과상여금 최고등급 부여
3. 포상휴가
4. 정년 연장  ✔</t>
        </is>
      </c>
      <c r="I14" s="34" t="inlineStr">
        <is>
          <t>4번</t>
        </is>
      </c>
      <c r="J14" s="35" t="inlineStr">
        <is>
          <t>규정은 특별승진·특별승급, 승진기간 단축, 성과급 최고등급, 포상휴가, 희망 부서 전보 등을 정하고 있습니다. 정년은 우대 조치의 대상이 아닙니다.</t>
        </is>
      </c>
      <c r="K14" s="36" t="inlineStr">
        <is>
          <t>적극행정 운영규정 §15</t>
        </is>
      </c>
      <c r="L14" s="31" t="inlineStr"/>
      <c r="M14" s="32" t="inlineStr"/>
    </row>
    <row r="15" ht="78" customHeight="1">
      <c r="A15" s="40" t="inlineStr">
        <is>
          <t>C2-11</t>
        </is>
      </c>
      <c r="B15" s="41" t="inlineStr">
        <is>
          <t>MC4</t>
        </is>
      </c>
      <c r="C15" s="41" t="inlineStr">
        <is>
          <t>L1</t>
        </is>
      </c>
      <c r="D15" s="42" t="inlineStr">
        <is>
          <t>적극행정</t>
        </is>
      </c>
      <c r="E15" s="42" t="inlineStr">
        <is>
          <t>신규 후보</t>
        </is>
      </c>
      <c r="F15" s="42" t="inlineStr"/>
      <c r="G15" s="42" t="inlineStr">
        <is>
          <t>민원이 거부되거나 제안이 채택되지 않은 국민이 적극적으로 다시 처리해 달라고 신청할 수 있는 제도는?</t>
        </is>
      </c>
      <c r="H15" s="42" t="inlineStr">
        <is>
          <t>1. 적극행정 국민신청  ✔
2. 정보공개청구
3. 행정심판
4. 국민참여예산</t>
        </is>
      </c>
      <c r="I15" s="41" t="inlineStr">
        <is>
          <t>1번</t>
        </is>
      </c>
      <c r="J15" s="42" t="inlineStr">
        <is>
          <t>국민권익위원회 온라인포털로 신청하며, 위원회가 상당한 이유를 인정하면 의견을 붙여 소관 기관장에게 보냅니다.</t>
        </is>
      </c>
      <c r="K15" s="43" t="inlineStr">
        <is>
          <t>적극행정 운영규정 §18의2</t>
        </is>
      </c>
      <c r="L15" s="31" t="inlineStr"/>
      <c r="M15" s="32" t="inlineStr"/>
    </row>
    <row r="16" ht="78" customHeight="1">
      <c r="A16" s="44" t="inlineStr">
        <is>
          <t>C2-12</t>
        </is>
      </c>
      <c r="B16" s="34" t="inlineStr">
        <is>
          <t>MC4</t>
        </is>
      </c>
      <c r="C16" s="34" t="inlineStr">
        <is>
          <t>L1</t>
        </is>
      </c>
      <c r="D16" s="35" t="inlineStr">
        <is>
          <t>적극행정</t>
        </is>
      </c>
      <c r="E16" s="35" t="inlineStr">
        <is>
          <t>신규 후보</t>
        </is>
      </c>
      <c r="F16" s="35" t="inlineStr"/>
      <c r="G16" s="35" t="inlineStr">
        <is>
          <t>민원을 거부할 수밖에 없을 때 처리 결과 통지에 반드시 담아야 하는 것은?</t>
        </is>
      </c>
      <c r="H16" s="35" t="inlineStr">
        <is>
          <t>1. 거부한 부서의 연락처
2. 거부 이유와 구제절차  ✔
3. 재신청이 가능한 시기
4. 담당자의 내부 검토자료</t>
        </is>
      </c>
      <c r="I16" s="34" t="inlineStr">
        <is>
          <t>2번</t>
        </is>
      </c>
      <c r="J16" s="35" t="inlineStr">
        <is>
          <t>거부 통지는 이유와 구제절차를 함께 알려야 요건을 갖춥니다. '안 됩니다'만 통지하면 그 자체로 절차 위반입니다.</t>
        </is>
      </c>
      <c r="K16" s="36" t="inlineStr">
        <is>
          <t>민원 처리에 관한 법률 §27</t>
        </is>
      </c>
      <c r="L16" s="31" t="inlineStr"/>
      <c r="M16" s="32" t="inlineStr"/>
    </row>
    <row r="17" ht="78" customHeight="1">
      <c r="A17" s="40" t="inlineStr">
        <is>
          <t>C2-13</t>
        </is>
      </c>
      <c r="B17" s="41" t="inlineStr">
        <is>
          <t>MC4</t>
        </is>
      </c>
      <c r="C17" s="41" t="inlineStr">
        <is>
          <t>L2</t>
        </is>
      </c>
      <c r="D17" s="42" t="inlineStr">
        <is>
          <t>적극행정</t>
        </is>
      </c>
      <c r="E17" s="42" t="inlineStr">
        <is>
          <t>신규 후보</t>
        </is>
      </c>
      <c r="F17" s="42" t="inlineStr"/>
      <c r="G17" s="42" t="inlineStr">
        <is>
          <t>공공감사법령상 적극행정 면책 요건에 해당하지 않는 것은?</t>
        </is>
      </c>
      <c r="H17" s="42" t="inlineStr">
        <is>
          <t>1. 업무처리가 불합리한 규제의 개선, 공익사업의 추진 등 공공의 이익을 위한 것일 것
2. 대상 업무를 적극적으로 처리한 결과일 것
3. 그 행위에 고의나 중대한 과실이 없을 것
4. 그 사업이 목표한 성과를 달성했을 것  ✔</t>
        </is>
      </c>
      <c r="I17" s="41" t="inlineStr">
        <is>
          <t>4번</t>
        </is>
      </c>
      <c r="J17" s="42" t="inlineStr">
        <is>
          <t>요건은 공익성, 적극성, 고의·중과실 부재 세 가지입니다. 성과 달성 여부는 요건이 아니며, 결과로 책임을 묻지 않는 것이 이 제도의 취지입니다.</t>
        </is>
      </c>
      <c r="K17" s="43" t="inlineStr">
        <is>
          <t>공공감사에 관한 법률 시행령 §13의3①</t>
        </is>
      </c>
      <c r="L17" s="31" t="inlineStr"/>
      <c r="M17" s="32" t="inlineStr"/>
    </row>
    <row r="18" ht="78" customHeight="1">
      <c r="A18" s="44" t="inlineStr">
        <is>
          <t>C2-14</t>
        </is>
      </c>
      <c r="B18" s="34" t="inlineStr">
        <is>
          <t>MC4</t>
        </is>
      </c>
      <c r="C18" s="34" t="inlineStr">
        <is>
          <t>L2</t>
        </is>
      </c>
      <c r="D18" s="35" t="inlineStr">
        <is>
          <t>적극행정</t>
        </is>
      </c>
      <c r="E18" s="35" t="inlineStr">
        <is>
          <t>신규 후보</t>
        </is>
      </c>
      <c r="F18" s="35" t="inlineStr"/>
      <c r="G18" s="35" t="inlineStr">
        <is>
          <t>사전컨설팅 신청 대상에서 제외되는 경우는?</t>
        </is>
      </c>
      <c r="H18" s="35" t="inlineStr">
        <is>
          <t>1. 선례가 없어 판단이 어려운 사안
2. 여러 기관이 관련되어 자체 판단이 곤란한 사안
3. 이미 수사·소송·감사가 진행 중이거나 확정된 사안  ✔
4. 법령 문언이 불명확해 해석이 갈리는 사안</t>
        </is>
      </c>
      <c r="I18" s="34" t="inlineStr">
        <is>
          <t>3번</t>
        </is>
      </c>
      <c r="J18" s="35" t="inlineStr">
        <is>
          <t>수사·소송·행정심판·감사가 진행 중이거나 확정된 사안, 자체 검토를 충분히 거치지 않은 사안, 책임회피 수단으로 쓰려는 신청은 제외됩니다.</t>
        </is>
      </c>
      <c r="K18" s="36" t="inlineStr">
        <is>
          <t>감사원 사전컨설팅 제도 운영기준(신청 제외 대상)</t>
        </is>
      </c>
      <c r="L18" s="31" t="inlineStr"/>
      <c r="M18" s="32" t="inlineStr"/>
    </row>
    <row r="19" ht="78" customHeight="1">
      <c r="A19" s="40" t="inlineStr">
        <is>
          <t>C2-15</t>
        </is>
      </c>
      <c r="B19" s="41" t="inlineStr">
        <is>
          <t>MC4</t>
        </is>
      </c>
      <c r="C19" s="41" t="inlineStr">
        <is>
          <t>L2</t>
        </is>
      </c>
      <c r="D19" s="42" t="inlineStr">
        <is>
          <t>적극행정</t>
        </is>
      </c>
      <c r="E19" s="42" t="inlineStr">
        <is>
          <t>신규 후보</t>
        </is>
      </c>
      <c r="F19" s="42" t="inlineStr"/>
      <c r="G19" s="42" t="inlineStr">
        <is>
          <t>사전컨설팅 의견을 받고 그 의견대로 업무를 처리했을 때의 효과는?</t>
        </is>
      </c>
      <c r="H19" s="42" t="inlineStr">
        <is>
          <t>1. 모든 법적 책임이 자동으로 사라진다
2. 특별한 사정이 없으면 면책 기준을 충족한 것으로 추정된다  ✔
3. 그 업무는 감사 대상에서 제외된다
4. 아무 효과가 없고 참고자료에 그친다</t>
        </is>
      </c>
      <c r="I19" s="41" t="inlineStr">
        <is>
          <t>2번</t>
        </is>
      </c>
      <c r="J19" s="42" t="inlineStr">
        <is>
          <t>면책 '추정'이지 만능 면허가 아닙니다. 사적 이해관계가 있거나 컨설팅 때 필요한 정보를 충분히 제공하지 않았다면 추정이 깨집니다.</t>
        </is>
      </c>
      <c r="K19" s="43" t="inlineStr">
        <is>
          <t>적극행정 운영규정 §16②·§17②</t>
        </is>
      </c>
      <c r="L19" s="31" t="inlineStr"/>
      <c r="M19" s="32" t="inlineStr"/>
    </row>
    <row r="20" ht="48" customHeight="1">
      <c r="A20" s="44" t="inlineStr">
        <is>
          <t>C2-16</t>
        </is>
      </c>
      <c r="B20" s="34" t="inlineStr">
        <is>
          <t>OX</t>
        </is>
      </c>
      <c r="C20" s="34" t="inlineStr">
        <is>
          <t>L2</t>
        </is>
      </c>
      <c r="D20" s="35" t="inlineStr">
        <is>
          <t>적극행정</t>
        </is>
      </c>
      <c r="E20" s="35" t="inlineStr">
        <is>
          <t>신규 후보</t>
        </is>
      </c>
      <c r="F20" s="35" t="inlineStr"/>
      <c r="G20" s="35" t="inlineStr">
        <is>
          <t>사전컨설팅 의견대로 처리했더라도 담당자에게 그 업무와 관련한 사적 이해관계가 있었다면 면책 추정을 받지 못한다.</t>
        </is>
      </c>
      <c r="H20" s="35" t="inlineStr"/>
      <c r="I20" s="34" t="inlineStr">
        <is>
          <t>O</t>
        </is>
      </c>
      <c r="J20" s="35" t="inlineStr">
        <is>
          <t>사적 이해관계가 없을 것과 중대한 절차상 하자가 없을 것이 고의·중과실 부재를 추정받는 조건입니다. 이해관계가 있으면 컨설팅 의견이 있어도 보호받지 못합니다.</t>
        </is>
      </c>
      <c r="K20" s="36" t="inlineStr">
        <is>
          <t>적극행정 운영규정 §16④, 공공감사에 관한 법률 시행령 §13의3②</t>
        </is>
      </c>
      <c r="L20" s="31" t="inlineStr"/>
      <c r="M20" s="32" t="inlineStr"/>
    </row>
    <row r="21" ht="78" customHeight="1">
      <c r="A21" s="40" t="inlineStr">
        <is>
          <t>C2-17</t>
        </is>
      </c>
      <c r="B21" s="41" t="inlineStr">
        <is>
          <t>MC4</t>
        </is>
      </c>
      <c r="C21" s="41" t="inlineStr">
        <is>
          <t>L2</t>
        </is>
      </c>
      <c r="D21" s="42" t="inlineStr">
        <is>
          <t>적극행정</t>
        </is>
      </c>
      <c r="E21" s="42" t="inlineStr">
        <is>
          <t>신규 후보</t>
        </is>
      </c>
      <c r="F21" s="42" t="inlineStr"/>
      <c r="G21" s="42" t="inlineStr">
        <is>
          <t>적극행정위원회에 의견 제시를 요청하기에 가장 적합한 상황은?</t>
        </is>
      </c>
      <c r="H21" s="42" t="inlineStr">
        <is>
          <t>1. 업무량이 많아 처리가 지연되고 있을 때
2. 인·허가 등 규제나 불명확한 법령 때문에 업무를 적극적으로 추진하기 곤란할 때  ✔
3. 상급자와 처리 방향에 대한 의견이 다를 때
4. 민원인이 처리 결과에 불복할 때</t>
        </is>
      </c>
      <c r="I21" s="41" t="inlineStr">
        <is>
          <t>2번</t>
        </is>
      </c>
      <c r="J21" s="42" t="inlineStr">
        <is>
          <t>위원회는 규정 해석이 갈리거나 선례가 없어 판단이 막힌 사안을 풀어주는 창구입니다. 업무 부담이나 내부 갈등을 조정하는 기구가 아닙니다.</t>
        </is>
      </c>
      <c r="K21" s="43" t="inlineStr">
        <is>
          <t>적극행정 운영규정 §13①</t>
        </is>
      </c>
      <c r="L21" s="31" t="inlineStr"/>
      <c r="M21" s="32" t="inlineStr"/>
    </row>
    <row r="22" ht="78" customHeight="1">
      <c r="A22" s="44" t="inlineStr">
        <is>
          <t>C2-18</t>
        </is>
      </c>
      <c r="B22" s="34" t="inlineStr">
        <is>
          <t>MC4</t>
        </is>
      </c>
      <c r="C22" s="34" t="inlineStr">
        <is>
          <t>L2</t>
        </is>
      </c>
      <c r="D22" s="35" t="inlineStr">
        <is>
          <t>적극행정</t>
        </is>
      </c>
      <c r="E22" s="35" t="inlineStr">
        <is>
          <t>신규 후보</t>
        </is>
      </c>
      <c r="F22" s="35" t="inlineStr"/>
      <c r="G22" s="35" t="inlineStr">
        <is>
          <t>국가기술자격 시험에서 응시자 편의 지원 요구가 접수됐으나 세부 기준이 규정에 없다. 가장 적절한 처리는?</t>
        </is>
      </c>
      <c r="H22" s="35" t="inlineStr">
        <is>
          <t>1. 규정에 없으므로 지원 불가로 회신한다
2. 담당자가 임의로 판단해 즉석에서 지원한다
3. 상위 법령의 취지와 유사 사례를 검토하고 필요하면 적극행정위원회나 사전컨설팅을 거쳐 지원 방안을 정한다  ✔
4. 다음 회차 시험 때까지 판단을 미룬다</t>
        </is>
      </c>
      <c r="I22" s="34" t="inlineStr">
        <is>
          <t>3번</t>
        </is>
      </c>
      <c r="J22" s="35" t="inlineStr">
        <is>
          <t>세부 기준이 없는 것과 금지된 것은 다릅니다. 근거를 만들어 처리하는 절차가 마련돼 있으므로 임의 처리도, 무조건 거부도 모두 잘못된 선택입니다.</t>
        </is>
      </c>
      <c r="K22" s="36" t="inlineStr">
        <is>
          <t>적극행정 운영규정 §5·§13</t>
        </is>
      </c>
      <c r="L22" s="31" t="inlineStr"/>
      <c r="M22" s="32" t="inlineStr"/>
    </row>
    <row r="23" ht="78" customHeight="1">
      <c r="A23" s="40" t="inlineStr">
        <is>
          <t>C2-19</t>
        </is>
      </c>
      <c r="B23" s="41" t="inlineStr">
        <is>
          <t>MC4</t>
        </is>
      </c>
      <c r="C23" s="41" t="inlineStr">
        <is>
          <t>L2</t>
        </is>
      </c>
      <c r="D23" s="42" t="inlineStr">
        <is>
          <t>적극행정</t>
        </is>
      </c>
      <c r="E23" s="42" t="inlineStr">
        <is>
          <t>신규 후보</t>
        </is>
      </c>
      <c r="F23" s="42" t="inlineStr"/>
      <c r="G23" s="42" t="inlineStr">
        <is>
          <t>외국인근로자가 제출한 신청서에 서류 일부가 빠져 있다. 가장 적절한 처리는?</t>
        </is>
      </c>
      <c r="H23" s="42" t="inlineStr">
        <is>
          <t>1. 접수를 거부하고 돌려보낸다
2. 보완이 필요한 사항을 구체적으로 알리고 상당한 기간을 정해 보완을 요구한다  ✔
3. 담당 직원이 대신 서류를 작성해 준다
4. 그대로 접수해 처리한다</t>
        </is>
      </c>
      <c r="I23" s="41" t="inlineStr">
        <is>
          <t>2번</t>
        </is>
      </c>
      <c r="J23" s="42" t="inlineStr">
        <is>
          <t>법은 보완이 필요한 민원에 대해 상당한 기간을 정해 지체 없이 보완을 요구하도록 규정합니다. 무엇이 왜 부족한지 알려주지 않고 반려하는 것이 소극행정의 전형입니다.</t>
        </is>
      </c>
      <c r="K23" s="43" t="inlineStr">
        <is>
          <t>민원 처리에 관한 법률 §22①</t>
        </is>
      </c>
      <c r="L23" s="31" t="inlineStr"/>
      <c r="M23" s="32" t="inlineStr"/>
    </row>
    <row r="24" ht="78" customHeight="1">
      <c r="A24" s="44" t="inlineStr">
        <is>
          <t>C2-20</t>
        </is>
      </c>
      <c r="B24" s="34" t="inlineStr">
        <is>
          <t>MC4</t>
        </is>
      </c>
      <c r="C24" s="34" t="inlineStr">
        <is>
          <t>L2</t>
        </is>
      </c>
      <c r="D24" s="35" t="inlineStr">
        <is>
          <t>적극행정</t>
        </is>
      </c>
      <c r="E24" s="35" t="inlineStr">
        <is>
          <t>신규 후보</t>
        </is>
      </c>
      <c r="F24" s="35" t="inlineStr"/>
      <c r="G24" s="35" t="inlineStr">
        <is>
          <t>훈련기관이 매년 같은 서류를 반복 제출하고 있는데, 그 근거가 내부 관행뿐임을 확인했다. 가장 적절한 조치는?</t>
        </is>
      </c>
      <c r="H24" s="35" t="inlineStr">
        <is>
          <t>1. 오래된 관행이므로 그대로 유지한다
2. 근거 규정이 있는지 확인하고, 없으면 폐지·간소화를 추진한다  ✔
3. 훈련기관이 공식적으로 개선을 요청할 때까지 기다린다
4. 제출 주기만 2년으로 늘린다</t>
        </is>
      </c>
      <c r="I24" s="34" t="inlineStr">
        <is>
          <t>2번</t>
        </is>
      </c>
      <c r="J24" s="35" t="inlineStr">
        <is>
          <t>근거 없는 서류 요구는 유지할 이유가 없습니다. 불합리한 규정·절차·관행을 자발적으로 개선하는 것이 적극행정의 대표 유형입니다.</t>
        </is>
      </c>
      <c r="K24" s="36" t="inlineStr">
        <is>
          <t>적극행정 운영규정 §2 제1호</t>
        </is>
      </c>
      <c r="L24" s="31" t="inlineStr"/>
      <c r="M24" s="32" t="inlineStr"/>
    </row>
    <row r="25" ht="78" customHeight="1">
      <c r="A25" s="40" t="inlineStr">
        <is>
          <t>C2-21</t>
        </is>
      </c>
      <c r="B25" s="41" t="inlineStr">
        <is>
          <t>MC4</t>
        </is>
      </c>
      <c r="C25" s="41" t="inlineStr">
        <is>
          <t>L2</t>
        </is>
      </c>
      <c r="D25" s="42" t="inlineStr">
        <is>
          <t>적극행정</t>
        </is>
      </c>
      <c r="E25" s="42" t="inlineStr">
        <is>
          <t>신규 후보</t>
        </is>
      </c>
      <c r="F25" s="42" t="inlineStr"/>
      <c r="G25" s="42" t="inlineStr">
        <is>
          <t>민원 처리를 지연시키는 사유로 인정될 수 없는 것은?</t>
        </is>
      </c>
      <c r="H25" s="42" t="inlineStr">
        <is>
          <t>1. 관계 기관의 협조 회신을 기다리는 경우
2. 현장 확인이 필요한 경우
3. 법령에서 정한 처리기간이 아직 남아 있는 경우  ✔
4. 민원인의 서류 보완이 필요한 경우</t>
        </is>
      </c>
      <c r="I25" s="41" t="inlineStr">
        <is>
          <t>3번</t>
        </is>
      </c>
      <c r="J25" s="42" t="inlineStr">
        <is>
          <t>처리기간이 남아 있다거나 그 민원과 관련 없는 공과금이 미납됐다는 이유로 처리를 늦추는 것은 법이 명시적으로 금지합니다. 기한은 상한이지 목표가 아닙니다.</t>
        </is>
      </c>
      <c r="K25" s="43" t="inlineStr">
        <is>
          <t>민원 처리에 관한 법률 §6①</t>
        </is>
      </c>
      <c r="L25" s="31" t="inlineStr"/>
      <c r="M25" s="32" t="inlineStr"/>
    </row>
    <row r="26" ht="48" customHeight="1">
      <c r="A26" s="44" t="inlineStr">
        <is>
          <t>C2-22</t>
        </is>
      </c>
      <c r="B26" s="34" t="inlineStr">
        <is>
          <t>OX</t>
        </is>
      </c>
      <c r="C26" s="34" t="inlineStr">
        <is>
          <t>L2</t>
        </is>
      </c>
      <c r="D26" s="35" t="inlineStr">
        <is>
          <t>적극행정</t>
        </is>
      </c>
      <c r="E26" s="35" t="inlineStr">
        <is>
          <t>신규 후보</t>
        </is>
      </c>
      <c r="F26" s="35" t="inlineStr"/>
      <c r="G26" s="35" t="inlineStr">
        <is>
          <t>민원 처리 결과를 통지할 때 거부하는 경우에는 거부 이유와 함께 구제절차를 알려야 한다.</t>
        </is>
      </c>
      <c r="H26" s="35" t="inlineStr"/>
      <c r="I26" s="34" t="inlineStr">
        <is>
          <t>O</t>
        </is>
      </c>
      <c r="J26" s="35" t="inlineStr">
        <is>
          <t>이유와 불복 방법을 알리지 않은 거부 통지는 요건을 갖추지 못한 처리입니다. 가능한 대안을 함께 안내하면 같은 민원의 반복을 줄일 수 있습니다.</t>
        </is>
      </c>
      <c r="K26" s="36" t="inlineStr">
        <is>
          <t>민원 처리에 관한 법률 §27</t>
        </is>
      </c>
      <c r="L26" s="31" t="inlineStr"/>
      <c r="M26" s="32" t="inlineStr"/>
    </row>
    <row r="27" ht="78" customHeight="1">
      <c r="A27" s="40" t="inlineStr">
        <is>
          <t>C2-23</t>
        </is>
      </c>
      <c r="B27" s="41" t="inlineStr">
        <is>
          <t>MC4</t>
        </is>
      </c>
      <c r="C27" s="41" t="inlineStr">
        <is>
          <t>L2</t>
        </is>
      </c>
      <c r="D27" s="42" t="inlineStr">
        <is>
          <t>적극행정</t>
        </is>
      </c>
      <c r="E27" s="42" t="inlineStr">
        <is>
          <t>신규 후보</t>
        </is>
      </c>
      <c r="F27" s="42" t="inlineStr"/>
      <c r="G27" s="42" t="inlineStr">
        <is>
          <t>동일한 내용의 민원이 반복 접수될 때 종결처리할 수 있는 요건은?</t>
        </is>
      </c>
      <c r="H27" s="42" t="inlineStr">
        <is>
          <t>1. 2회 이상 반복되면 곧바로 종결할 수 있다
2. 3회 이상 반복 제출되고 2회 이상 처리결과를 통지한 경우  ✔
3. 민원인이 종결에 동의한 경우에만 가능하다
4. 종결처리는 어떤 경우에도 허용되지 않는다</t>
        </is>
      </c>
      <c r="I27" s="41" t="inlineStr">
        <is>
          <t>2번</t>
        </is>
      </c>
      <c r="J27" s="42" t="inlineStr">
        <is>
          <t>요건을 갖추지 않은 조기 종결은 소극행정이 되고, 반대로 무한 반복 응답은 다른 민원 처리를 지연시킵니다. 횟수 요건을 정확히 지키는 것이 기준입니다.</t>
        </is>
      </c>
      <c r="K27" s="43" t="inlineStr">
        <is>
          <t>민원 처리에 관한 법률 §23①</t>
        </is>
      </c>
      <c r="L27" s="31" t="inlineStr"/>
      <c r="M27" s="32" t="inlineStr"/>
    </row>
    <row r="28" ht="78" customHeight="1">
      <c r="A28" s="44" t="inlineStr">
        <is>
          <t>C2-24</t>
        </is>
      </c>
      <c r="B28" s="34" t="inlineStr">
        <is>
          <t>MC4</t>
        </is>
      </c>
      <c r="C28" s="34" t="inlineStr">
        <is>
          <t>L2</t>
        </is>
      </c>
      <c r="D28" s="35" t="inlineStr">
        <is>
          <t>적극행정</t>
        </is>
      </c>
      <c r="E28" s="35" t="inlineStr">
        <is>
          <t>신규 후보</t>
        </is>
      </c>
      <c r="F28" s="35" t="inlineStr"/>
      <c r="G28" s="35" t="inlineStr">
        <is>
          <t>다음 중 소극행정에 해당하는 것은?</t>
        </is>
      </c>
      <c r="H28" s="35" t="inlineStr">
        <is>
          <t>1. 선례가 없어 사전컨설팅을 신청한 뒤 받은 의견대로 처리했다
2. 규정 해석이 갈려 적극행정위원회에 의견 제시를 요청했다
3. 소관이 애매하다는 이유로 민원을 다른 부서로 계속 넘겼다  ✔
4. 근거 없는 제출서류를 확인해 폐지를 건의했다</t>
        </is>
      </c>
      <c r="I28" s="34" t="inlineStr">
        <is>
          <t>3번</t>
        </is>
      </c>
      <c r="J28" s="35" t="inlineStr">
        <is>
          <t>소관을 미루는 사이 처리기간은 그대로 흘러갑니다. 협조가 필요하면 처리기간 안에서 회신기간을 정해 요청하는 것이 법이 정한 방식입니다.</t>
        </is>
      </c>
      <c r="K28" s="36" t="inlineStr">
        <is>
          <t>민원 처리에 관한 법률 §20①, 적극행정 운영규정 §2 제2호</t>
        </is>
      </c>
      <c r="L28" s="31" t="inlineStr"/>
      <c r="M28" s="32" t="inlineStr"/>
    </row>
    <row r="29" ht="48" customHeight="1">
      <c r="A29" s="40" t="inlineStr">
        <is>
          <t>C2-25</t>
        </is>
      </c>
      <c r="B29" s="41" t="inlineStr">
        <is>
          <t>OX</t>
        </is>
      </c>
      <c r="C29" s="41" t="inlineStr">
        <is>
          <t>L2</t>
        </is>
      </c>
      <c r="D29" s="42" t="inlineStr">
        <is>
          <t>적극행정</t>
        </is>
      </c>
      <c r="E29" s="42" t="inlineStr">
        <is>
          <t>신규 후보</t>
        </is>
      </c>
      <c r="F29" s="42" t="inlineStr"/>
      <c r="G29" s="42" t="inlineStr">
        <is>
          <t>적극행정 면책은 감사가 모두 끝난 뒤에만 신청할 수 있다.</t>
        </is>
      </c>
      <c r="H29" s="42" t="inlineStr"/>
      <c r="I29" s="41" t="inlineStr">
        <is>
          <t>X</t>
        </is>
      </c>
      <c r="J29" s="42" t="inlineStr">
        <is>
          <t>실지감사 중에는 감사마감회의 3일 전까지 자체감사기구에 신청할 수 있고, 감사단이 직권으로 면책을 검토하기도 합니다. 소명은 빠를수록 유리합니다.</t>
        </is>
      </c>
      <c r="K29" s="43" t="inlineStr">
        <is>
          <t>감사원 적극행정면책 운영기준(감사단계별 면책 절차)</t>
        </is>
      </c>
      <c r="L29" s="31" t="inlineStr"/>
      <c r="M29" s="32" t="inlineStr"/>
    </row>
    <row r="30" ht="93" customHeight="1">
      <c r="A30" s="44" t="inlineStr">
        <is>
          <t>C2-26</t>
        </is>
      </c>
      <c r="B30" s="34" t="inlineStr">
        <is>
          <t>ORDER</t>
        </is>
      </c>
      <c r="C30" s="34" t="inlineStr">
        <is>
          <t>L2</t>
        </is>
      </c>
      <c r="D30" s="35" t="inlineStr">
        <is>
          <t>적극행정</t>
        </is>
      </c>
      <c r="E30" s="35" t="inlineStr">
        <is>
          <t>신규 후보</t>
        </is>
      </c>
      <c r="F30" s="35" t="inlineStr"/>
      <c r="G30" s="35" t="inlineStr">
        <is>
          <t>규정이 불명확해 판단이 어려운 사안을 처리하는 순서를 배열하시오.</t>
        </is>
      </c>
      <c r="H30" s="35" t="inlineStr">
        <is>
          <t>① 제시받은 의견대로 업무를 처리한다
② 관련 법령·지침과 유사 선례를 확인한다
③ 처리 경위와 근거를 기록으로 남긴다
④ 부서 차원에서 자체적으로 판단할 수 있는지 충분히 검토한다
⑤ 쟁점과 검토자료를 갖춰 감사기구에 사전컨설팅을 신청한다</t>
        </is>
      </c>
      <c r="I30" s="34" t="inlineStr">
        <is>
          <t>② → ④ → ⑤ → ① → ③</t>
        </is>
      </c>
      <c r="J30" s="35" t="inlineStr">
        <is>
          <t>자체 검토를 거치지 않은 신청은 사전컨설팅 대상에서 제외됩니다. 또 의견대로 처리했다는 사실이 기록으로 남아야 나중에 면책 추정을 받을 수 있습니다.</t>
        </is>
      </c>
      <c r="K30" s="36" t="inlineStr">
        <is>
          <t>적극행정 운영규정 §5·§16②</t>
        </is>
      </c>
      <c r="L30" s="31" t="inlineStr"/>
      <c r="M30" s="32" t="inlineStr"/>
    </row>
    <row r="31" ht="93" customHeight="1">
      <c r="A31" s="40" t="inlineStr">
        <is>
          <t>C2-27</t>
        </is>
      </c>
      <c r="B31" s="41" t="inlineStr">
        <is>
          <t>ORDER</t>
        </is>
      </c>
      <c r="C31" s="41" t="inlineStr">
        <is>
          <t>L2</t>
        </is>
      </c>
      <c r="D31" s="42" t="inlineStr">
        <is>
          <t>적극행정</t>
        </is>
      </c>
      <c r="E31" s="42" t="inlineStr">
        <is>
          <t>신규 후보</t>
        </is>
      </c>
      <c r="F31" s="42" t="inlineStr"/>
      <c r="G31" s="42" t="inlineStr">
        <is>
          <t>불합리한 절차를 발견했을 때 개선을 추진하는 순서를 배열하시오.</t>
        </is>
      </c>
      <c r="H31" s="42" t="inlineStr">
        <is>
          <t>① 개선안을 시행하고 결과를 점검·공유한다
② 현장과 민원에서 반복되는 불편 사례를 수집한다
③ 규정 개정이 필요한지, 해석·운영으로 가능한지 구분한다
④ 개선안을 마련해 관련 부서와 협의한다
⑤ 그 절차가 어떤 규정에 근거하는지 확인한다</t>
        </is>
      </c>
      <c r="I31" s="41" t="inlineStr">
        <is>
          <t>② → ⑤ → ③ → ④ → ①</t>
        </is>
      </c>
      <c r="J31" s="42" t="inlineStr">
        <is>
          <t>근거 규정을 먼저 확인해야 '없앨 수 있는 절차'와 '법령이 요구하는 절차'가 구분됩니다. 규정 개정 없이 해석·운영만으로 풀리는 사안도 적지 않습니다.</t>
        </is>
      </c>
      <c r="K31" s="43" t="inlineStr"/>
      <c r="L31" s="31" t="inlineStr"/>
      <c r="M31" s="32" t="inlineStr"/>
    </row>
    <row r="32" ht="48" customHeight="1">
      <c r="A32" s="44" t="inlineStr">
        <is>
          <t>C2-28</t>
        </is>
      </c>
      <c r="B32" s="34" t="inlineStr">
        <is>
          <t>SHORT</t>
        </is>
      </c>
      <c r="C32" s="34" t="inlineStr">
        <is>
          <t>L2</t>
        </is>
      </c>
      <c r="D32" s="35" t="inlineStr">
        <is>
          <t>적극행정</t>
        </is>
      </c>
      <c r="E32" s="35" t="inlineStr">
        <is>
          <t>신규 후보</t>
        </is>
      </c>
      <c r="F32" s="35" t="inlineStr"/>
      <c r="G32" s="35" t="inlineStr">
        <is>
          <t>규제나 불명확한 법령 때문에 업무 추진이 곤란할 때, 감사기구에 미리 처리 방향에 관한 의견 제시를 요청하는 제도의 이름은?</t>
        </is>
      </c>
      <c r="H32" s="35" t="inlineStr"/>
      <c r="I32" s="34" t="inlineStr">
        <is>
          <t>사전컨설팅, 사전 컨설팅, 사전컨설팅제도, 사전컨설팅감사, 사전 컨설팅 감사</t>
        </is>
      </c>
      <c r="J32" s="35" t="inlineStr">
        <is>
          <t>받은 의견대로 처리하면 특별한 사정이 없는 한 면책 기준을 충족한 것으로 추정됩니다. 자체감사기구에 먼저 신청하고, 사안이 중대하면 감사원에 신청합니다.</t>
        </is>
      </c>
      <c r="K32" s="36" t="inlineStr">
        <is>
          <t>적극행정 운영규정 §5</t>
        </is>
      </c>
      <c r="L32" s="31" t="inlineStr"/>
      <c r="M32" s="32" t="inlineStr"/>
    </row>
    <row r="33" ht="78" customHeight="1">
      <c r="A33" s="40" t="inlineStr">
        <is>
          <t>C2-29</t>
        </is>
      </c>
      <c r="B33" s="41" t="inlineStr">
        <is>
          <t>MC4</t>
        </is>
      </c>
      <c r="C33" s="41" t="inlineStr">
        <is>
          <t>L3</t>
        </is>
      </c>
      <c r="D33" s="42" t="inlineStr">
        <is>
          <t>적극행정</t>
        </is>
      </c>
      <c r="E33" s="42" t="inlineStr">
        <is>
          <t>신규 후보</t>
        </is>
      </c>
      <c r="F33" s="42" t="inlineStr"/>
      <c r="G33" s="42" t="inlineStr">
        <is>
          <t>공공감사법령상 '고의나 중대한 과실이 없는 경우'로 추정받기 위한 조건으로 옳은 것은?</t>
        </is>
      </c>
      <c r="H33" s="42" t="inlineStr">
        <is>
          <t>1. 과거에 감사 지적을 받은 적이 없을 것
2. 사적인 이해관계가 없고, 업무 처리에 중대한 절차상 하자가 없을 것  ✔
3. 상급자의 결재를 받아 처리했을 것
4. 사업 성과가 목표치를 초과했을 것</t>
        </is>
      </c>
      <c r="I33" s="41" t="inlineStr">
        <is>
          <t>2번</t>
        </is>
      </c>
      <c r="J33" s="42" t="inlineStr">
        <is>
          <t>이 두 가지를 갖추면 고의·중과실이 없는 것으로 추정됩니다. 면책 판단에서 가장 먼저 확인되는 항목이 사적 이해관계와 절차 하자입니다.</t>
        </is>
      </c>
      <c r="K33" s="43" t="inlineStr">
        <is>
          <t>공공감사에 관한 법률 시행령 §13의3②</t>
        </is>
      </c>
      <c r="L33" s="31" t="inlineStr"/>
      <c r="M33" s="32" t="inlineStr"/>
    </row>
    <row r="34" ht="78" customHeight="1">
      <c r="A34" s="44" t="inlineStr">
        <is>
          <t>C2-30</t>
        </is>
      </c>
      <c r="B34" s="34" t="inlineStr">
        <is>
          <t>MC4</t>
        </is>
      </c>
      <c r="C34" s="34" t="inlineStr">
        <is>
          <t>L3</t>
        </is>
      </c>
      <c r="D34" s="35" t="inlineStr">
        <is>
          <t>적극행정</t>
        </is>
      </c>
      <c r="E34" s="35" t="inlineStr">
        <is>
          <t>신규 후보</t>
        </is>
      </c>
      <c r="F34" s="35" t="inlineStr"/>
      <c r="G34" s="35" t="inlineStr">
        <is>
          <t>적극행정위원회 구성에 관한 설명으로 옳은 것은?</t>
        </is>
      </c>
      <c r="H34" s="35" t="inlineStr">
        <is>
          <t>1. 위원은 모두 소속 기관 직원으로 구성한다
2. 위원은 9명 이상 45명 이하이며, 2분의 1 이상을 민간위원으로 위촉한다  ✔
3. 위원장은 반드시 기관장이 맡는다
4. 민간위원은 연임할 수 없다</t>
        </is>
      </c>
      <c r="I34" s="34" t="inlineStr">
        <is>
          <t>2번</t>
        </is>
      </c>
      <c r="J34" s="35" t="inlineStr">
        <is>
          <t>민간위원을 절반 이상 두는 것은 내부 논리만으로 결론이 나는 것을 막기 위한 장치입니다. 민간위원 임기는 2년이고 연임할 수 있습니다.</t>
        </is>
      </c>
      <c r="K34" s="36" t="inlineStr">
        <is>
          <t>적극행정 운영규정 §12</t>
        </is>
      </c>
      <c r="L34" s="31" t="inlineStr"/>
      <c r="M34" s="32" t="inlineStr"/>
    </row>
    <row r="35" ht="78" customHeight="1">
      <c r="A35" s="40" t="inlineStr">
        <is>
          <t>C2-31</t>
        </is>
      </c>
      <c r="B35" s="41" t="inlineStr">
        <is>
          <t>MC4</t>
        </is>
      </c>
      <c r="C35" s="41" t="inlineStr">
        <is>
          <t>L3</t>
        </is>
      </c>
      <c r="D35" s="42" t="inlineStr">
        <is>
          <t>적극행정</t>
        </is>
      </c>
      <c r="E35" s="42" t="inlineStr">
        <is>
          <t>신규 후보</t>
        </is>
      </c>
      <c r="F35" s="42" t="inlineStr"/>
      <c r="G35" s="42" t="inlineStr">
        <is>
          <t>법령에 관한 설명이나 해석을 요구하는 질의민원의 처리기간은?</t>
        </is>
      </c>
      <c r="H35" s="42" t="inlineStr">
        <is>
          <t>1. 7일 이내
2. 14일 이내  ✔
3. 30일 이내
4. 따로 정해져 있지 않다</t>
        </is>
      </c>
      <c r="I35" s="41" t="inlineStr">
        <is>
          <t>2번</t>
        </is>
      </c>
      <c r="J35" s="42" t="inlineStr">
        <is>
          <t>법령 해석 질의는 14일, 제도·절차 등 법령 외의 사항에 관한 질의는 7일 이내입니다. 건의민원은 14일, 기타민원은 즉시 처리가 원칙입니다.</t>
        </is>
      </c>
      <c r="K35" s="43" t="inlineStr">
        <is>
          <t>민원 처리에 관한 법률 시행령 §14</t>
        </is>
      </c>
      <c r="L35" s="31" t="inlineStr"/>
      <c r="M35" s="32" t="inlineStr"/>
    </row>
    <row r="36" ht="78" customHeight="1">
      <c r="A36" s="44" t="inlineStr">
        <is>
          <t>C2-32</t>
        </is>
      </c>
      <c r="B36" s="34" t="inlineStr">
        <is>
          <t>MC4</t>
        </is>
      </c>
      <c r="C36" s="34" t="inlineStr">
        <is>
          <t>L3</t>
        </is>
      </c>
      <c r="D36" s="35" t="inlineStr">
        <is>
          <t>적극행정</t>
        </is>
      </c>
      <c r="E36" s="35" t="inlineStr">
        <is>
          <t>신규 후보</t>
        </is>
      </c>
      <c r="F36" s="35" t="inlineStr"/>
      <c r="G36" s="35" t="inlineStr">
        <is>
          <t>민원 거부처분에 대한 이의신청 기간과 기관의 결과 통지 기간을 옳게 짝지은 것은?</t>
        </is>
      </c>
      <c r="H36" s="35" t="inlineStr">
        <is>
          <t>1. 거부처분을 받은 날부터 30일 이내 신청 — 30일 이내 통지
2. 거부처분을 받은 날부터 60일 이내 신청 — 10일 이내 통지  ✔
3. 거부처분을 받은 날부터 90일 이내 신청 — 20일 이내 통지
4. 신청 기간 제한 없음 — 통지 의무 없음</t>
        </is>
      </c>
      <c r="I36" s="34" t="inlineStr">
        <is>
          <t>2번</t>
        </is>
      </c>
      <c r="J36" s="35" t="inlineStr">
        <is>
          <t>이의신청은 60일 이내에 하고, 기관은 접수일부터 10일 이내에 결과를 문서로 통지해야 합니다. 부득이한 경우 기간을 연장할 수 있으나 그 사유를 알려야 합니다.</t>
        </is>
      </c>
      <c r="K36" s="36" t="inlineStr">
        <is>
          <t>민원 처리에 관한 법률 §35</t>
        </is>
      </c>
      <c r="L36" s="31" t="inlineStr"/>
      <c r="M36" s="32" t="inlineStr"/>
    </row>
    <row r="37" ht="78" customHeight="1">
      <c r="A37" s="40" t="inlineStr">
        <is>
          <t>C2-33</t>
        </is>
      </c>
      <c r="B37" s="41" t="inlineStr">
        <is>
          <t>MC4</t>
        </is>
      </c>
      <c r="C37" s="41" t="inlineStr">
        <is>
          <t>L3</t>
        </is>
      </c>
      <c r="D37" s="42" t="inlineStr">
        <is>
          <t>적극행정</t>
        </is>
      </c>
      <c r="E37" s="42" t="inlineStr">
        <is>
          <t>신규 후보</t>
        </is>
      </c>
      <c r="F37" s="42" t="inlineStr"/>
      <c r="G37" s="42" t="inlineStr">
        <is>
          <t>'행정은 공공의 이익을 위하여 적극적으로 추진되어야 한다'고 정한 법률은?</t>
        </is>
      </c>
      <c r="H37" s="42" t="inlineStr">
        <is>
          <t>1. 행정기본법  ✔
2. 행정절차법
3. 국가공무원법
4. 공공감사에 관한 법률</t>
        </is>
      </c>
      <c r="I37" s="41" t="inlineStr">
        <is>
          <t>1번</t>
        </is>
      </c>
      <c r="J37" s="42" t="inlineStr">
        <is>
          <t>행정기본법 제4조가 적극행정의 법률적 근거이며, 같은 조 제3항의 위임으로 제정된 대통령령이 「적극행정 운영규정」입니다.</t>
        </is>
      </c>
      <c r="K37" s="43" t="inlineStr">
        <is>
          <t>행정기본법 §4</t>
        </is>
      </c>
      <c r="L37" s="31" t="inlineStr"/>
      <c r="M37" s="32" t="inlineStr"/>
    </row>
    <row r="38" ht="78" customHeight="1">
      <c r="A38" s="44" t="inlineStr">
        <is>
          <t>C2-34</t>
        </is>
      </c>
      <c r="B38" s="34" t="inlineStr">
        <is>
          <t>MC4</t>
        </is>
      </c>
      <c r="C38" s="34" t="inlineStr">
        <is>
          <t>L3</t>
        </is>
      </c>
      <c r="D38" s="35" t="inlineStr">
        <is>
          <t>적극행정</t>
        </is>
      </c>
      <c r="E38" s="35" t="inlineStr">
        <is>
          <t>신규 후보</t>
        </is>
      </c>
      <c r="F38" s="35" t="inlineStr"/>
      <c r="G38" s="35" t="inlineStr">
        <is>
          <t>감사원 사전컨설팅의 신청 주체로 옳은 것은?</t>
        </is>
      </c>
      <c r="H38" s="35" t="inlineStr">
        <is>
          <t>1. 업무 담당 직원이 개인 명의로 신청한다
2. 소속 기관의 장 명의로 신청한다  ✔
3. 민원인이 직접 신청한다
4. 노동조합이 신청한다</t>
        </is>
      </c>
      <c r="I38" s="34" t="inlineStr">
        <is>
          <t>2번</t>
        </is>
      </c>
      <c r="J38" s="35" t="inlineStr">
        <is>
          <t>기관장 명의 신청이 원칙입니다. 자체감사기구를 먼저 거치고, 사안이 중대하거나 여러 기관이 관련되어 자체 판단이 어려울 때 감사원에 신청합니다.</t>
        </is>
      </c>
      <c r="K38" s="36" t="inlineStr">
        <is>
          <t>감사원 사전컨설팅 제도 운영기준(신청 절차)</t>
        </is>
      </c>
      <c r="L38" s="31" t="inlineStr"/>
      <c r="M38" s="32" t="inlineStr"/>
    </row>
    <row r="39" ht="48" customHeight="1">
      <c r="A39" s="40" t="inlineStr">
        <is>
          <t>C2-35</t>
        </is>
      </c>
      <c r="B39" s="41" t="inlineStr">
        <is>
          <t>OX</t>
        </is>
      </c>
      <c r="C39" s="41" t="inlineStr">
        <is>
          <t>L3</t>
        </is>
      </c>
      <c r="D39" s="42" t="inlineStr">
        <is>
          <t>적극행정</t>
        </is>
      </c>
      <c r="E39" s="42" t="inlineStr">
        <is>
          <t>신규 후보</t>
        </is>
      </c>
      <c r="F39" s="42" t="inlineStr"/>
      <c r="G39" s="42" t="inlineStr">
        <is>
          <t>적극행정을 추진한 결과에 고의나 중대한 과실이 없다면 징계의결이나 징계부가금 부과 의결을 하지 않는다.</t>
        </is>
      </c>
      <c r="H39" s="42" t="inlineStr"/>
      <c r="I39" s="41" t="inlineStr">
        <is>
          <t>O</t>
        </is>
      </c>
      <c r="J39" s="42" t="inlineStr">
        <is>
          <t>면책이 '징계 요구를 하지 않는' 단계의 보호라면, 징계 등 면제는 징계 절차 자체에서 의결하지 않도록 하는 규정입니다. 징계위원회는 적극행정 주장이 있으면 이를 심의해 결과에 명시해야 합니다.</t>
        </is>
      </c>
      <c r="K39" s="43" t="inlineStr">
        <is>
          <t>적극행정 운영규정 §17, 공무원 징계령 시행규칙 §3의2</t>
        </is>
      </c>
      <c r="L39" s="31" t="inlineStr"/>
      <c r="M39" s="32" t="inlineStr"/>
    </row>
  </sheetData>
  <autoFilter ref="A4:M39"/>
  <dataValidations count="1">
    <dataValidation sqref="L5:L39" showDropDown="0" showInputMessage="0" showErrorMessage="0" allowBlank="1" type="list">
      <formula1>"채택,보류,제외"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13" customWidth="1" min="4" max="4"/>
    <col width="12" customWidth="1" min="5" max="5"/>
    <col width="8" customWidth="1" min="6" max="6"/>
    <col width="52" customWidth="1" min="7" max="7"/>
    <col width="50" customWidth="1" min="8" max="8"/>
    <col width="11" customWidth="1" min="9" max="9"/>
    <col width="56" customWidth="1" min="10" max="10"/>
    <col width="22" customWidth="1" min="11" max="11"/>
    <col width="8" customWidth="1" min="12" max="12"/>
    <col width="30" customWidth="1" min="13" max="13"/>
  </cols>
  <sheetData>
    <row r="1">
      <c r="A1" s="45" t="inlineStr">
        <is>
          <t>안전 72</t>
        </is>
      </c>
      <c r="G1" s="46">
        <f>CONCATENATE("채택 ",COUNTIF($L$5:$L$76,"채택"),"개  ·  목표 30개  ·  보류 ",COUNTIF($L$5:$L$76,"보류"),"개  ·  제외 ",COUNTIF($L$5:$L$76,"제외"),"개")</f>
        <v/>
      </c>
    </row>
    <row r="2">
      <c r="A2" s="25" t="inlineStr">
        <is>
          <t>현재 운영 중인 기존 문항입니다. 남길 문항을 채택으로 표시해 주십시오. 역할 열의 사전·사후는 짝을 이루므로 함께 남기거나 함께 빼야 합니다.</t>
        </is>
      </c>
    </row>
    <row r="4" ht="22" customHeight="1">
      <c r="A4" s="47" t="inlineStr">
        <is>
          <t>번호</t>
        </is>
      </c>
      <c r="B4" s="47" t="inlineStr">
        <is>
          <t>유형</t>
        </is>
      </c>
      <c r="C4" s="47" t="inlineStr">
        <is>
          <t>난이도</t>
        </is>
      </c>
      <c r="D4" s="47" t="inlineStr">
        <is>
          <t>영역</t>
        </is>
      </c>
      <c r="E4" s="47" t="inlineStr">
        <is>
          <t>역할</t>
        </is>
      </c>
      <c r="F4" s="47" t="inlineStr">
        <is>
          <t>회차</t>
        </is>
      </c>
      <c r="G4" s="47" t="inlineStr">
        <is>
          <t>문항</t>
        </is>
      </c>
      <c r="H4" s="47" t="inlineStr">
        <is>
          <t>선택지</t>
        </is>
      </c>
      <c r="I4" s="47" t="inlineStr">
        <is>
          <t>정답</t>
        </is>
      </c>
      <c r="J4" s="47" t="inlineStr">
        <is>
          <t>해설</t>
        </is>
      </c>
      <c r="K4" s="47" t="inlineStr">
        <is>
          <t>근거</t>
        </is>
      </c>
      <c r="L4" s="47" t="inlineStr">
        <is>
          <t>채택</t>
        </is>
      </c>
      <c r="M4" s="47" t="inlineStr">
        <is>
          <t>검토 의견</t>
        </is>
      </c>
    </row>
    <row r="5" ht="48" customHeight="1">
      <c r="A5" s="48" t="inlineStr">
        <is>
          <t>1-01</t>
        </is>
      </c>
      <c r="B5" s="49" t="inlineStr">
        <is>
          <t>OX</t>
        </is>
      </c>
      <c r="C5" s="49" t="inlineStr">
        <is>
          <t>L1</t>
        </is>
      </c>
      <c r="D5" s="50" t="inlineStr">
        <is>
          <t>측정문항</t>
        </is>
      </c>
      <c r="E5" s="50" t="inlineStr">
        <is>
          <t>앵커 A1</t>
        </is>
      </c>
      <c r="F5" s="50" t="inlineStr">
        <is>
          <t>1회차</t>
        </is>
      </c>
      <c r="G5" s="50" t="inlineStr">
        <is>
          <t>심정지 환자를 발견했을 때 가슴압박은 분당 100~120회 속도로 실시한다.</t>
        </is>
      </c>
      <c r="H5" s="50" t="inlineStr"/>
      <c r="I5" s="49" t="inlineStr">
        <is>
          <t>O</t>
        </is>
      </c>
      <c r="J5" s="50" t="inlineStr">
        <is>
          <t>너무 느리면 혈액순환이 되지 않고, 너무 빠르면 압박 깊이가 얕아집니다.</t>
        </is>
      </c>
      <c r="K5" s="51" t="inlineStr">
        <is>
          <t>2020 한국형 심폐소생술 가이드라인</t>
        </is>
      </c>
      <c r="L5" s="31" t="inlineStr"/>
      <c r="M5" s="32" t="inlineStr"/>
    </row>
    <row r="6" ht="78" customHeight="1">
      <c r="A6" s="52" t="inlineStr">
        <is>
          <t>1-02</t>
        </is>
      </c>
      <c r="B6" s="34" t="inlineStr">
        <is>
          <t>MC4</t>
        </is>
      </c>
      <c r="C6" s="34" t="inlineStr">
        <is>
          <t>L1</t>
        </is>
      </c>
      <c r="D6" s="35" t="inlineStr">
        <is>
          <t>측정문항</t>
        </is>
      </c>
      <c r="E6" s="35" t="inlineStr">
        <is>
          <t>앵커 A2</t>
        </is>
      </c>
      <c r="F6" s="35" t="inlineStr">
        <is>
          <t>1회차</t>
        </is>
      </c>
      <c r="G6" s="35" t="inlineStr">
        <is>
          <t>우리 기관 안전신문고에 신고할 수 있는 것으로 가장 알맞은 것은?</t>
        </is>
      </c>
      <c r="H6" s="35" t="inlineStr">
        <is>
          <t>1. 사고가 실제로 발생한 경우만
2. 인명피해가 있는 경우만
3. 사고로 이어지지 않았지만 위험했던 상황도 포함  ✔
4. 시설물 파손만</t>
        </is>
      </c>
      <c r="I6" s="34" t="inlineStr">
        <is>
          <t>3번</t>
        </is>
      </c>
      <c r="J6" s="35" t="inlineStr">
        <is>
          <t>다치지 않았어도, 아직 사고가 나지 않았어도 신고 대상입니다. 오히려 그게 가장 값진 신고입니다.</t>
        </is>
      </c>
      <c r="K6" s="36" t="inlineStr"/>
      <c r="L6" s="31" t="inlineStr"/>
      <c r="M6" s="32" t="inlineStr"/>
    </row>
    <row r="7" ht="78" customHeight="1">
      <c r="A7" s="48" t="inlineStr">
        <is>
          <t>1-03</t>
        </is>
      </c>
      <c r="B7" s="49" t="inlineStr">
        <is>
          <t>MC4</t>
        </is>
      </c>
      <c r="C7" s="49" t="inlineStr">
        <is>
          <t>L1</t>
        </is>
      </c>
      <c r="D7" s="50" t="inlineStr">
        <is>
          <t>공단 안전</t>
        </is>
      </c>
      <c r="E7" s="50" t="inlineStr">
        <is>
          <t>일반</t>
        </is>
      </c>
      <c r="F7" s="50" t="inlineStr">
        <is>
          <t>1회차</t>
        </is>
      </c>
      <c r="G7" s="50" t="inlineStr">
        <is>
          <t>우리 공단의 안전 슬로건은 무엇인가?</t>
        </is>
      </c>
      <c r="H7" s="50" t="inlineStr">
        <is>
          <t>1. 안전 채움, 함께 나눔
2. 안전 이룸, 함께 해냄  ✔
3. 안전 지킴, 함께 이룸
4. 안전 더함, 함께 해냄</t>
        </is>
      </c>
      <c r="I7" s="49" t="inlineStr">
        <is>
          <t>2번</t>
        </is>
      </c>
      <c r="J7" s="50" t="inlineStr">
        <is>
          <t>안전 이룸, 함께 해냄. 안전은 개인의 조심이 아니라 함께 만들어 이루는 결과라는 뜻입니다.</t>
        </is>
      </c>
      <c r="K7" s="51" t="inlineStr"/>
      <c r="L7" s="31" t="inlineStr"/>
      <c r="M7" s="32" t="inlineStr"/>
    </row>
    <row r="8" ht="48" customHeight="1">
      <c r="A8" s="52" t="inlineStr">
        <is>
          <t>1-04</t>
        </is>
      </c>
      <c r="B8" s="34" t="inlineStr">
        <is>
          <t>SHORT</t>
        </is>
      </c>
      <c r="C8" s="34" t="inlineStr">
        <is>
          <t>L2</t>
        </is>
      </c>
      <c r="D8" s="35" t="inlineStr">
        <is>
          <t>위험성평가</t>
        </is>
      </c>
      <c r="E8" s="35" t="inlineStr">
        <is>
          <t>일반</t>
        </is>
      </c>
      <c r="F8" s="35" t="inlineStr">
        <is>
          <t>1회차</t>
        </is>
      </c>
      <c r="G8" s="35" t="inlineStr">
        <is>
          <t>사고로 이어지지는 않았지만 사고가 날 수 있었던 위험한 순간을 뜻하는 안전 용어는? (영어로 near miss)</t>
        </is>
      </c>
      <c r="H8" s="35" t="inlineStr"/>
      <c r="I8" s="34" t="inlineStr">
        <is>
          <t>아차사고</t>
        </is>
      </c>
      <c r="J8" s="35" t="inlineStr">
        <is>
          <t>큰 사고 1건 뒤에는 경상 29건, 무상해 아차사고 300건이 있습니다(하인리히 법칙). 아차사고를 줄이면 큰 사고가 줄어듭니다.</t>
        </is>
      </c>
      <c r="K8" s="36" t="inlineStr"/>
      <c r="L8" s="31" t="inlineStr"/>
      <c r="M8" s="32" t="inlineStr"/>
    </row>
    <row r="9" ht="78" customHeight="1">
      <c r="A9" s="48" t="inlineStr">
        <is>
          <t>1-05</t>
        </is>
      </c>
      <c r="B9" s="49" t="inlineStr">
        <is>
          <t>MC4</t>
        </is>
      </c>
      <c r="C9" s="49" t="inlineStr">
        <is>
          <t>L2</t>
        </is>
      </c>
      <c r="D9" s="50" t="inlineStr">
        <is>
          <t>측정문항</t>
        </is>
      </c>
      <c r="E9" s="50" t="inlineStr">
        <is>
          <t>사전 M01</t>
        </is>
      </c>
      <c r="F9" s="50" t="inlineStr">
        <is>
          <t>1회차</t>
        </is>
      </c>
      <c r="G9" s="50" t="inlineStr">
        <is>
          <t>소화기를 사용할 때 올바른 순서는?</t>
        </is>
      </c>
      <c r="H9" s="50" t="inlineStr">
        <is>
          <t>1. 안전핀을 뽑는다 → 노즐을 불쪽으로 향한다 → 손잡이를 움켜쥔다 → 빗자루 쓸듯이 분사한다  ✔
2. 손잡이를 움켜쥔다 → 안전핀을 뽑는다 → 노즐을 불쪽으로 향한다 → 빗자루 쓸듯이 분사한다
3. 노즐을 불쪽으로 향한다 → 안전핀을 뽑는다 → 빗자루 쓸듯이 분사한다 → 손잡이를 움켜쥔다
4. 빗자루 쓸듯이 분사한다 → 안전핀을 뽑는다 → 노즐을 불쪽으로 향한다 → 손잡이를 움켜쥔다</t>
        </is>
      </c>
      <c r="I9" s="49" t="inlineStr">
        <is>
          <t>1번</t>
        </is>
      </c>
      <c r="J9" s="50" t="inlineStr">
        <is>
          <t>안전핀을 뽑고 노즐을 불쪽으로 향한 뒤 손잡이를 움켜쥐고 빗자루로 쓸듯이 분사합니다. 바람을 등지고 서는 것도 필수입니다.</t>
        </is>
      </c>
      <c r="K9" s="51" t="inlineStr"/>
      <c r="L9" s="31" t="inlineStr"/>
      <c r="M9" s="32" t="inlineStr"/>
    </row>
    <row r="10" ht="78" customHeight="1">
      <c r="A10" s="52" t="inlineStr">
        <is>
          <t>1-06</t>
        </is>
      </c>
      <c r="B10" s="34" t="inlineStr">
        <is>
          <t>MC4</t>
        </is>
      </c>
      <c r="C10" s="34" t="inlineStr">
        <is>
          <t>L2</t>
        </is>
      </c>
      <c r="D10" s="35" t="inlineStr">
        <is>
          <t>측정문항</t>
        </is>
      </c>
      <c r="E10" s="35" t="inlineStr">
        <is>
          <t>사전 M02</t>
        </is>
      </c>
      <c r="F10" s="35" t="inlineStr">
        <is>
          <t>1회차</t>
        </is>
      </c>
      <c r="G10" s="35" t="inlineStr">
        <is>
          <t>전기설비에서 발생한 화재는 몇 급 화재인가?</t>
        </is>
      </c>
      <c r="H10" s="35" t="inlineStr">
        <is>
          <t>1. A급
2. B급
3. C급  ✔
4. K급</t>
        </is>
      </c>
      <c r="I10" s="34" t="inlineStr">
        <is>
          <t>3번</t>
        </is>
      </c>
      <c r="J10" s="35" t="inlineStr">
        <is>
          <t>A급=일반, B급=유류, C급=전기, K급=주방(식용유). 사무실 비치 분말소화기는 통상 ABC 겸용입니다.</t>
        </is>
      </c>
      <c r="K10" s="36" t="inlineStr"/>
      <c r="L10" s="31" t="inlineStr"/>
      <c r="M10" s="32" t="inlineStr"/>
    </row>
    <row r="11" ht="78" customHeight="1">
      <c r="A11" s="48" t="inlineStr">
        <is>
          <t>1-07</t>
        </is>
      </c>
      <c r="B11" s="49" t="inlineStr">
        <is>
          <t>MC4</t>
        </is>
      </c>
      <c r="C11" s="49" t="inlineStr">
        <is>
          <t>L1</t>
        </is>
      </c>
      <c r="D11" s="50" t="inlineStr">
        <is>
          <t>측정문항</t>
        </is>
      </c>
      <c r="E11" s="50" t="inlineStr">
        <is>
          <t>사전 M03</t>
        </is>
      </c>
      <c r="F11" s="50" t="inlineStr">
        <is>
          <t>1회차</t>
        </is>
      </c>
      <c r="G11" s="50" t="inlineStr">
        <is>
          <t>기름에 붙은 불을 끌 때 가장 적절한 방법은?</t>
        </is>
      </c>
      <c r="H11" s="50" t="inlineStr">
        <is>
          <t>1. 물을 부어 불을 끈다
2. 뚜껑이나 젖지 않은 덮개로 덮어 산소를 차단한다  ✔
3. 선풍기로 바람을 보내 불을 끈다
4. 불붙은 냄비를 들고 안전한 곳으로 옮긴다</t>
        </is>
      </c>
      <c r="I11" s="49" t="inlineStr">
        <is>
          <t>2번</t>
        </is>
      </c>
      <c r="J11" s="50" t="inlineStr">
        <is>
          <t>기름에 물을 부으면 기름이 튀며 불이 순간적으로 확산됩니다. 소화기를 쓰거나 뚜껑으로 덮어 산소를 차단합니다.</t>
        </is>
      </c>
      <c r="K11" s="51" t="inlineStr"/>
      <c r="L11" s="31" t="inlineStr"/>
      <c r="M11" s="32" t="inlineStr"/>
    </row>
    <row r="12" ht="78" customHeight="1">
      <c r="A12" s="52" t="inlineStr">
        <is>
          <t>1-08</t>
        </is>
      </c>
      <c r="B12" s="34" t="inlineStr">
        <is>
          <t>MC4</t>
        </is>
      </c>
      <c r="C12" s="34" t="inlineStr">
        <is>
          <t>L1</t>
        </is>
      </c>
      <c r="D12" s="35" t="inlineStr">
        <is>
          <t>측정문항</t>
        </is>
      </c>
      <c r="E12" s="35" t="inlineStr">
        <is>
          <t>사전 M04</t>
        </is>
      </c>
      <c r="F12" s="35" t="inlineStr">
        <is>
          <t>1회차</t>
        </is>
      </c>
      <c r="G12" s="35" t="inlineStr">
        <is>
          <t>화재로 대피할 때 가장 올바른 방법은?</t>
        </is>
      </c>
      <c r="H12" s="35" t="inlineStr">
        <is>
          <t>1. 엘리베이터를 이용한다
2. 계단을 이용해 대피한다  ✔
3. 창문으로 뛰어내린다
4. 화재가 난 층으로 다시 이동한다</t>
        </is>
      </c>
      <c r="I12" s="34" t="inlineStr">
        <is>
          <t>2번</t>
        </is>
      </c>
      <c r="J12" s="35" t="inlineStr">
        <is>
          <t>화재 때 엘리베이터는 정전으로 갇히거나 연기가 유입될 수 있습니다. 반드시 계단을 이용해 대피합니다.</t>
        </is>
      </c>
      <c r="K12" s="36" t="inlineStr"/>
      <c r="L12" s="31" t="inlineStr"/>
      <c r="M12" s="32" t="inlineStr"/>
    </row>
    <row r="13" ht="78" customHeight="1">
      <c r="A13" s="48" t="inlineStr">
        <is>
          <t>1-09</t>
        </is>
      </c>
      <c r="B13" s="49" t="inlineStr">
        <is>
          <t>MC4</t>
        </is>
      </c>
      <c r="C13" s="49" t="inlineStr">
        <is>
          <t>L3</t>
        </is>
      </c>
      <c r="D13" s="50" t="inlineStr">
        <is>
          <t>측정문항</t>
        </is>
      </c>
      <c r="E13" s="50" t="inlineStr">
        <is>
          <t>사전 M05</t>
        </is>
      </c>
      <c r="F13" s="50" t="inlineStr">
        <is>
          <t>1회차</t>
        </is>
      </c>
      <c r="G13" s="50" t="inlineStr">
        <is>
          <t>「피난구유도등」의 표시 방식으로 옳은 것은?</t>
        </is>
      </c>
      <c r="H13" s="50" t="inlineStr">
        <is>
          <t>1. 백색 바탕에 녹색 그림
2. 녹색 바탕에 백색 그림  ✔
3. 적색 바탕에 백색 그림
4. 황색 바탕에 흑색 그림</t>
        </is>
      </c>
      <c r="I13" s="49" t="inlineStr">
        <is>
          <t>2번</t>
        </is>
      </c>
      <c r="J13" s="50" t="inlineStr">
        <is>
          <t>출구 자체를 알리는 피난구유도등은 녹색 바탕+백색 그림, 방향을 알리는 통로유도등은 백색 바탕+녹색 그림입니다.</t>
        </is>
      </c>
      <c r="K13" s="51" t="inlineStr">
        <is>
          <t>소방시설법 시행규칙</t>
        </is>
      </c>
      <c r="L13" s="31" t="inlineStr"/>
      <c r="M13" s="32" t="inlineStr"/>
    </row>
    <row r="14" ht="78" customHeight="1">
      <c r="A14" s="52" t="inlineStr">
        <is>
          <t>1-10</t>
        </is>
      </c>
      <c r="B14" s="34" t="inlineStr">
        <is>
          <t>MC4</t>
        </is>
      </c>
      <c r="C14" s="34" t="inlineStr">
        <is>
          <t>L2</t>
        </is>
      </c>
      <c r="D14" s="35" t="inlineStr">
        <is>
          <t>측정문항</t>
        </is>
      </c>
      <c r="E14" s="35" t="inlineStr">
        <is>
          <t>사전 M06</t>
        </is>
      </c>
      <c r="F14" s="35" t="inlineStr">
        <is>
          <t>1회차</t>
        </is>
      </c>
      <c r="G14" s="35" t="inlineStr">
        <is>
          <t>실내에서 지진을 느꼈을 때 가장 먼저 해야 할 행동은?</t>
        </is>
      </c>
      <c r="H14" s="35" t="inlineStr">
        <is>
          <t>1. 즉시 건물 밖으로 달려 나간다
2. 엘리베이터를 타고 내려간다
3. 탁자 아래로 들어가 머리와 몸을 보호한다  ✔
4. 창가로 이동해 상황을 확인한다</t>
        </is>
      </c>
      <c r="I14" s="34" t="inlineStr">
        <is>
          <t>3번</t>
        </is>
      </c>
      <c r="J14" s="35" t="inlineStr">
        <is>
          <t>흔들리는 동안 이동하다 낙하물에 맞는 사고가 가장 많습니다. 진동이 멈춘 뒤 계단으로 대피합니다.</t>
        </is>
      </c>
      <c r="K14" s="36" t="inlineStr"/>
      <c r="L14" s="31" t="inlineStr"/>
      <c r="M14" s="32" t="inlineStr"/>
    </row>
    <row r="15" ht="48" customHeight="1">
      <c r="A15" s="48" t="inlineStr">
        <is>
          <t>1-11</t>
        </is>
      </c>
      <c r="B15" s="49" t="inlineStr">
        <is>
          <t>OX</t>
        </is>
      </c>
      <c r="C15" s="49" t="inlineStr">
        <is>
          <t>L1</t>
        </is>
      </c>
      <c r="D15" s="50" t="inlineStr">
        <is>
          <t>생활안전</t>
        </is>
      </c>
      <c r="E15" s="50" t="inlineStr">
        <is>
          <t>일반</t>
        </is>
      </c>
      <c r="F15" s="50" t="inlineStr">
        <is>
          <t>1회차</t>
        </is>
      </c>
      <c r="G15" s="50" t="inlineStr">
        <is>
          <t>출근길이나 퇴근길에 발생한 사고도 산업재해로 인정받을 수 있다.</t>
        </is>
      </c>
      <c r="H15" s="50" t="inlineStr"/>
      <c r="I15" s="49" t="inlineStr">
        <is>
          <t>O</t>
        </is>
      </c>
      <c r="J15" s="50" t="inlineStr">
        <is>
          <t>2018년부터 통상적인 경로·방법으로 출퇴근하다 발생한 사고도 산재로 인정됩니다.</t>
        </is>
      </c>
      <c r="K15" s="51" t="inlineStr">
        <is>
          <t>산재보험법 §37①3호</t>
        </is>
      </c>
      <c r="L15" s="31" t="inlineStr"/>
      <c r="M15" s="32" t="inlineStr"/>
    </row>
    <row r="16" ht="78" customHeight="1">
      <c r="A16" s="52" t="inlineStr">
        <is>
          <t>1-12</t>
        </is>
      </c>
      <c r="B16" s="34" t="inlineStr">
        <is>
          <t>MC4</t>
        </is>
      </c>
      <c r="C16" s="34" t="inlineStr">
        <is>
          <t>L1</t>
        </is>
      </c>
      <c r="D16" s="35" t="inlineStr">
        <is>
          <t>생활안전</t>
        </is>
      </c>
      <c r="E16" s="35" t="inlineStr">
        <is>
          <t>일반</t>
        </is>
      </c>
      <c r="F16" s="35" t="inlineStr">
        <is>
          <t>1회차</t>
        </is>
      </c>
      <c r="G16" s="35" t="inlineStr">
        <is>
          <t>우리 집에도 법적으로 갖춰야 하는 소방시설 2가지는?</t>
        </is>
      </c>
      <c r="H16" s="35" t="inlineStr">
        <is>
          <t>1. 스프링클러와 옥내소화전
2. 소화기와 단독경보형 감지기  ✔
3. 완강기와 방화문
4. 자동확산소화기와 유도등</t>
        </is>
      </c>
      <c r="I16" s="34" t="inlineStr">
        <is>
          <t>2번</t>
        </is>
      </c>
      <c r="J16" s="35" t="inlineStr">
        <is>
          <t>2017년부터 모든 주택(아파트·기숙사 제외)은 세대별 소화기 1개 이상과 구획된 실마다 단독경보형 감지기 설치가 의무입니다.</t>
        </is>
      </c>
      <c r="K16" s="36" t="inlineStr">
        <is>
          <t>화재예방법 §10</t>
        </is>
      </c>
      <c r="L16" s="31" t="inlineStr"/>
      <c r="M16" s="32" t="inlineStr"/>
    </row>
    <row r="17" ht="78" customHeight="1">
      <c r="A17" s="48" t="inlineStr">
        <is>
          <t>2-01</t>
        </is>
      </c>
      <c r="B17" s="49" t="inlineStr">
        <is>
          <t>MC4</t>
        </is>
      </c>
      <c r="C17" s="49" t="inlineStr">
        <is>
          <t>L1</t>
        </is>
      </c>
      <c r="D17" s="50" t="inlineStr">
        <is>
          <t>측정문항</t>
        </is>
      </c>
      <c r="E17" s="50" t="inlineStr">
        <is>
          <t>앵커 A1</t>
        </is>
      </c>
      <c r="F17" s="50" t="inlineStr">
        <is>
          <t>2회차</t>
        </is>
      </c>
      <c r="G17" s="50" t="inlineStr">
        <is>
          <t>성인 심폐소생술에서 가슴압박의 깊이는 어느 정도가 적절한가?</t>
        </is>
      </c>
      <c r="H17" s="50" t="inlineStr">
        <is>
          <t>1. 약 2cm
2. 약 3cm
3. 약 5cm  ✔
4. 약 8cm</t>
        </is>
      </c>
      <c r="I17" s="49" t="inlineStr">
        <is>
          <t>3번</t>
        </is>
      </c>
      <c r="J17" s="50" t="inlineStr">
        <is>
          <t>가슴뼈가 약 5cm 눌릴 정도, 최대 6cm를 넘지 않게 합니다. 얕은 압박은 효과가 거의 없습니다.</t>
        </is>
      </c>
      <c r="K17" s="51" t="inlineStr"/>
      <c r="L17" s="31" t="inlineStr"/>
      <c r="M17" s="32" t="inlineStr"/>
    </row>
    <row r="18" ht="48" customHeight="1">
      <c r="A18" s="52" t="inlineStr">
        <is>
          <t>2-02</t>
        </is>
      </c>
      <c r="B18" s="34" t="inlineStr">
        <is>
          <t>OX</t>
        </is>
      </c>
      <c r="C18" s="34" t="inlineStr">
        <is>
          <t>L1</t>
        </is>
      </c>
      <c r="D18" s="35" t="inlineStr">
        <is>
          <t>측정문항</t>
        </is>
      </c>
      <c r="E18" s="35" t="inlineStr">
        <is>
          <t>앵커 A2</t>
        </is>
      </c>
      <c r="F18" s="35" t="inlineStr">
        <is>
          <t>2회차</t>
        </is>
      </c>
      <c r="G18" s="35" t="inlineStr">
        <is>
          <t>다친 사람이 없었던 위험 상황은 안전신문고에 신고할 필요가 없다.</t>
        </is>
      </c>
      <c r="H18" s="35" t="inlineStr"/>
      <c r="I18" s="34" t="inlineStr">
        <is>
          <t>X</t>
        </is>
      </c>
      <c r="J18" s="35" t="inlineStr">
        <is>
          <t>아차사고 신고가 실제 사고를 막는 가장 효과적인 방법입니다. 피해가 없을 때 신고하는 것이 제도의 목적입니다.</t>
        </is>
      </c>
      <c r="K18" s="36" t="inlineStr"/>
      <c r="L18" s="31" t="inlineStr"/>
      <c r="M18" s="32" t="inlineStr"/>
    </row>
    <row r="19" ht="78" customHeight="1">
      <c r="A19" s="48" t="inlineStr">
        <is>
          <t>2-03</t>
        </is>
      </c>
      <c r="B19" s="49" t="inlineStr">
        <is>
          <t>MC4</t>
        </is>
      </c>
      <c r="C19" s="49" t="inlineStr">
        <is>
          <t>L1</t>
        </is>
      </c>
      <c r="D19" s="50" t="inlineStr">
        <is>
          <t>직장 건강</t>
        </is>
      </c>
      <c r="E19" s="50" t="inlineStr">
        <is>
          <t>일반</t>
        </is>
      </c>
      <c r="F19" s="50" t="inlineStr">
        <is>
          <t>2회차</t>
        </is>
      </c>
      <c r="G19" s="50" t="inlineStr">
        <is>
          <t>온열질환 예방 3대 기본수칙을 올바르게 나열한 것은?</t>
        </is>
      </c>
      <c r="H19" s="50" t="inlineStr">
        <is>
          <t>1. 물, 소금, 운동
2. 물, 그늘, 휴식  ✔
3. 물, 그늘, 운동
4. 소금, 그늘, 휴식</t>
        </is>
      </c>
      <c r="I19" s="49" t="inlineStr">
        <is>
          <t>2번</t>
        </is>
      </c>
      <c r="J19" s="50" t="inlineStr">
        <is>
          <t>물은 갈증을 느끼기 전에, 그늘은 시원한 곳에서, 휴식은 규칙적으로. 무더위에는 운동량을 늘리는 것이 아니라 줄여야 합니다.</t>
        </is>
      </c>
      <c r="K19" s="51" t="inlineStr"/>
      <c r="L19" s="31" t="inlineStr"/>
      <c r="M19" s="32" t="inlineStr"/>
    </row>
    <row r="20" ht="78" customHeight="1">
      <c r="A20" s="52" t="inlineStr">
        <is>
          <t>2-04</t>
        </is>
      </c>
      <c r="B20" s="34" t="inlineStr">
        <is>
          <t>MC4</t>
        </is>
      </c>
      <c r="C20" s="34" t="inlineStr">
        <is>
          <t>L3</t>
        </is>
      </c>
      <c r="D20" s="35" t="inlineStr">
        <is>
          <t>직장 건강</t>
        </is>
      </c>
      <c r="E20" s="35" t="inlineStr">
        <is>
          <t>일반</t>
        </is>
      </c>
      <c r="F20" s="35" t="inlineStr">
        <is>
          <t>2회차</t>
        </is>
      </c>
      <c r="G20" s="35" t="inlineStr">
        <is>
          <t>폭염작업 시 체감온도가 33℃ 이상인 경우 사업주가 부여해야 하는 휴식 기준은?</t>
        </is>
      </c>
      <c r="H20" s="35" t="inlineStr">
        <is>
          <t>1. 하루 1회 30분 이상
2. 2시간마다 20분 이상  ✔
3. 4시간마다 10분 이상
4. 권고사항일 뿐 의무는 아니다</t>
        </is>
      </c>
      <c r="I20" s="34" t="inlineStr">
        <is>
          <t>2번</t>
        </is>
      </c>
      <c r="J20" s="35" t="inlineStr">
        <is>
          <t>체감온도 31℃ 이상인 장시간 작업은 폭염작업입니다. 체감온도 33℃ 이상이면 안전보건규칙에 따라 매 2시간 이내에 20분 이상 휴식을 주어야 합니다.</t>
        </is>
      </c>
      <c r="K20" s="36" t="inlineStr">
        <is>
          <t>안전보건규칙 §559④·§560②③</t>
        </is>
      </c>
      <c r="L20" s="31" t="inlineStr"/>
      <c r="M20" s="32" t="inlineStr"/>
    </row>
    <row r="21" ht="78" customHeight="1">
      <c r="A21" s="48" t="inlineStr">
        <is>
          <t>2-05</t>
        </is>
      </c>
      <c r="B21" s="49" t="inlineStr">
        <is>
          <t>MC4</t>
        </is>
      </c>
      <c r="C21" s="49" t="inlineStr">
        <is>
          <t>L2</t>
        </is>
      </c>
      <c r="D21" s="50" t="inlineStr">
        <is>
          <t>측정문항</t>
        </is>
      </c>
      <c r="E21" s="50" t="inlineStr">
        <is>
          <t>사전 M07</t>
        </is>
      </c>
      <c r="F21" s="50" t="inlineStr">
        <is>
          <t>2회차</t>
        </is>
      </c>
      <c r="G21" s="50" t="inlineStr">
        <is>
          <t>사무직 근로자에게 가장 많이 발생하는 업무상 사고 유형은?</t>
        </is>
      </c>
      <c r="H21" s="50" t="inlineStr">
        <is>
          <t>1. 감전
2. 넘어짐(전도)  ✔
3. 화상
4. 떨어짐(추락)</t>
        </is>
      </c>
      <c r="I21" s="49" t="inlineStr">
        <is>
          <t>2번</t>
        </is>
      </c>
      <c r="J21" s="50" t="inlineStr">
        <is>
          <t>젖은 바닥, 계단, 바닥에 늘어진 전선이 주요 원인입니다. '사무실은 안전하다'는 인식이 가장 위험합니다.</t>
        </is>
      </c>
      <c r="K21" s="51" t="inlineStr"/>
      <c r="L21" s="31" t="inlineStr"/>
      <c r="M21" s="32" t="inlineStr"/>
    </row>
    <row r="22" ht="78" customHeight="1">
      <c r="A22" s="52" t="inlineStr">
        <is>
          <t>2-06</t>
        </is>
      </c>
      <c r="B22" s="34" t="inlineStr">
        <is>
          <t>MC4</t>
        </is>
      </c>
      <c r="C22" s="34" t="inlineStr">
        <is>
          <t>L1</t>
        </is>
      </c>
      <c r="D22" s="35" t="inlineStr">
        <is>
          <t>측정문항</t>
        </is>
      </c>
      <c r="E22" s="35" t="inlineStr">
        <is>
          <t>사전 M08</t>
        </is>
      </c>
      <c r="F22" s="35" t="inlineStr">
        <is>
          <t>2회차</t>
        </is>
      </c>
      <c r="G22" s="35" t="inlineStr">
        <is>
          <t>멀티탭을 사용할 때 가장 안전한 방법은?</t>
        </is>
      </c>
      <c r="H22" s="35" t="inlineStr">
        <is>
          <t>1. 정격을 확인한 멀티탭 하나를 정격 범위 안에서 사용한다  ✔
2. 멀티탭에 다른 멀티탭을 이어서 사용한다
3. 정격을 초과해 여러 고전력 제품을 연결한다
4. 전선을 여러 겹으로 감아 책상 아래에 보관한다</t>
        </is>
      </c>
      <c r="I22" s="34" t="inlineStr">
        <is>
          <t>1번</t>
        </is>
      </c>
      <c r="J22" s="35" t="inlineStr">
        <is>
          <t>멀티탭은 정격을 확인하고 단독으로 정격 범위 안에서 사용해야 합니다. 직렬 연결이나 과부하는 과열·화재로 이어질 수 있습니다.</t>
        </is>
      </c>
      <c r="K22" s="36" t="inlineStr"/>
      <c r="L22" s="31" t="inlineStr"/>
      <c r="M22" s="32" t="inlineStr"/>
    </row>
    <row r="23" ht="78" customHeight="1">
      <c r="A23" s="48" t="inlineStr">
        <is>
          <t>2-07</t>
        </is>
      </c>
      <c r="B23" s="49" t="inlineStr">
        <is>
          <t>MC4</t>
        </is>
      </c>
      <c r="C23" s="49" t="inlineStr">
        <is>
          <t>L2</t>
        </is>
      </c>
      <c r="D23" s="50" t="inlineStr">
        <is>
          <t>측정문항</t>
        </is>
      </c>
      <c r="E23" s="50" t="inlineStr">
        <is>
          <t>사전 M09</t>
        </is>
      </c>
      <c r="F23" s="50" t="inlineStr">
        <is>
          <t>2회차</t>
        </is>
      </c>
      <c r="G23" s="50" t="inlineStr">
        <is>
          <t>컴퓨터 작업 시 눈과 모니터 화면 사이의 권장 거리는?</t>
        </is>
      </c>
      <c r="H23" s="50" t="inlineStr">
        <is>
          <t>1. 20cm 이상
2. 40cm 이상  ✔
3. 80cm 이상
4. 1m 이상</t>
        </is>
      </c>
      <c r="I23" s="49" t="inlineStr">
        <is>
          <t>2번</t>
        </is>
      </c>
      <c r="J23" s="50" t="inlineStr">
        <is>
          <t>화면 상단이 눈높이보다 약간 아래에 오도록 배치하고, 40cm 이상 거리를 둡니다.</t>
        </is>
      </c>
      <c r="K23" s="51" t="inlineStr">
        <is>
          <t>안전보건규칙 §667</t>
        </is>
      </c>
      <c r="L23" s="31" t="inlineStr"/>
      <c r="M23" s="32" t="inlineStr"/>
    </row>
    <row r="24" ht="78" customHeight="1">
      <c r="A24" s="52" t="inlineStr">
        <is>
          <t>2-08</t>
        </is>
      </c>
      <c r="B24" s="34" t="inlineStr">
        <is>
          <t>MC4</t>
        </is>
      </c>
      <c r="C24" s="34" t="inlineStr">
        <is>
          <t>L3</t>
        </is>
      </c>
      <c r="D24" s="35" t="inlineStr">
        <is>
          <t>측정문항</t>
        </is>
      </c>
      <c r="E24" s="35" t="inlineStr">
        <is>
          <t>사전 M10</t>
        </is>
      </c>
      <c r="F24" s="35" t="inlineStr">
        <is>
          <t>2회차</t>
        </is>
      </c>
      <c r="G24" s="35" t="inlineStr">
        <is>
          <t>사업주가 근골격계부담작업에 대한 유해요인조사를 실시해야 하는 주기는?</t>
        </is>
      </c>
      <c r="H24" s="35" t="inlineStr">
        <is>
          <t>1. 6개월마다
2. 1년마다
3. 3년마다  ✔
4. 5년마다</t>
        </is>
      </c>
      <c r="I24" s="34" t="inlineStr">
        <is>
          <t>3번</t>
        </is>
      </c>
      <c r="J24" s="35" t="inlineStr">
        <is>
          <t>근골격계부담작업은 3년마다 정기적으로 조사합니다. 새로운 작업·설비 도입이나 작업환경 변경 등 사유가 발생하면 1개월 이내에 조사해야 합니다.</t>
        </is>
      </c>
      <c r="K24" s="36" t="inlineStr">
        <is>
          <t>안전보건규칙 §657</t>
        </is>
      </c>
      <c r="L24" s="31" t="inlineStr"/>
      <c r="M24" s="32" t="inlineStr"/>
    </row>
    <row r="25" ht="78" customHeight="1">
      <c r="A25" s="48" t="inlineStr">
        <is>
          <t>2-09</t>
        </is>
      </c>
      <c r="B25" s="49" t="inlineStr">
        <is>
          <t>MC4</t>
        </is>
      </c>
      <c r="C25" s="49" t="inlineStr">
        <is>
          <t>L2</t>
        </is>
      </c>
      <c r="D25" s="50" t="inlineStr">
        <is>
          <t>측정문항</t>
        </is>
      </c>
      <c r="E25" s="50" t="inlineStr">
        <is>
          <t>사전 M11</t>
        </is>
      </c>
      <c r="F25" s="50" t="inlineStr">
        <is>
          <t>2회차</t>
        </is>
      </c>
      <c r="G25" s="50" t="inlineStr">
        <is>
          <t>위험성평가에 반드시 참여해야 하는 사람은?</t>
        </is>
      </c>
      <c r="H25" s="50" t="inlineStr">
        <is>
          <t>1. 안전 담당자만 참여한다
2. 해당 작업을 실제로 수행하는 근로자가 참여한다  ✔
3. 부서장만 참여한다
4. 외부 전문기관만 참여한다</t>
        </is>
      </c>
      <c r="I25" s="49" t="inlineStr">
        <is>
          <t>2번</t>
        </is>
      </c>
      <c r="J25" s="50" t="inlineStr">
        <is>
          <t>실제 작업자는 현장의 위험을 가장 잘 알고 있으므로 위험성평가에 참여해야 합니다. 담당자만 하는 서류상 평가는 위험을 놓칠 수 있습니다.</t>
        </is>
      </c>
      <c r="K25" s="51" t="inlineStr">
        <is>
          <t>산안법 §36④</t>
        </is>
      </c>
      <c r="L25" s="31" t="inlineStr"/>
      <c r="M25" s="32" t="inlineStr"/>
    </row>
    <row r="26" ht="78" customHeight="1">
      <c r="A26" s="52" t="inlineStr">
        <is>
          <t>2-10</t>
        </is>
      </c>
      <c r="B26" s="34" t="inlineStr">
        <is>
          <t>MC4</t>
        </is>
      </c>
      <c r="C26" s="34" t="inlineStr">
        <is>
          <t>L2</t>
        </is>
      </c>
      <c r="D26" s="35" t="inlineStr">
        <is>
          <t>측정문항</t>
        </is>
      </c>
      <c r="E26" s="35" t="inlineStr">
        <is>
          <t>사전 M12</t>
        </is>
      </c>
      <c r="F26" s="35" t="inlineStr">
        <is>
          <t>2회차</t>
        </is>
      </c>
      <c r="G26" s="35" t="inlineStr">
        <is>
          <t>급박한 위험을 발견한 근로자가 취할 올바른 조치는?</t>
        </is>
      </c>
      <c r="H26" s="35" t="inlineStr">
        <is>
          <t>1. 작업을 중지하고 대피한 뒤 즉시 보고한다  ✔
2. 상급자의 지시가 있을 때까지 작업을 계속한다
3. 위험이 사라질 때까지 모른 척한다
4. 퇴근한 뒤 다음 날 보고한다</t>
        </is>
      </c>
      <c r="I26" s="34" t="inlineStr">
        <is>
          <t>1번</t>
        </is>
      </c>
      <c r="J26" s="35" t="inlineStr">
        <is>
          <t>급박한 위험이 있으면 작업을 중지하고 대피한 뒤 즉시 보고해야 합니다. 작업중지와 대피를 이유로 불리한 처우를 해서는 안 됩니다.</t>
        </is>
      </c>
      <c r="K26" s="36" t="inlineStr">
        <is>
          <t>산안법 §52</t>
        </is>
      </c>
      <c r="L26" s="31" t="inlineStr"/>
      <c r="M26" s="32" t="inlineStr"/>
    </row>
    <row r="27" ht="78" customHeight="1">
      <c r="A27" s="48" t="inlineStr">
        <is>
          <t>2-11</t>
        </is>
      </c>
      <c r="B27" s="49" t="inlineStr">
        <is>
          <t>MC4</t>
        </is>
      </c>
      <c r="C27" s="49" t="inlineStr">
        <is>
          <t>L1</t>
        </is>
      </c>
      <c r="D27" s="50" t="inlineStr">
        <is>
          <t>생활안전</t>
        </is>
      </c>
      <c r="E27" s="50" t="inlineStr">
        <is>
          <t>일반</t>
        </is>
      </c>
      <c r="F27" s="50" t="inlineStr">
        <is>
          <t>2회차</t>
        </is>
      </c>
      <c r="G27" s="50" t="inlineStr">
        <is>
          <t>식중독 예방 3대 원칙에 해당하지 않는 것은?</t>
        </is>
      </c>
      <c r="H27" s="50" t="inlineStr">
        <is>
          <t>1. 손 씻기
2. 익혀 먹기
3. 끓여 먹기
4. 냉장고에 오래 보관하기  ✔</t>
        </is>
      </c>
      <c r="I27" s="49" t="inlineStr">
        <is>
          <t>4번</t>
        </is>
      </c>
      <c r="J27" s="50" t="inlineStr">
        <is>
          <t>냉장고 안에서도 세균은 증식합니다. 조리 후 2시간 내 섭취, 실온 방치 금지가 원칙입니다.</t>
        </is>
      </c>
      <c r="K27" s="51" t="inlineStr"/>
      <c r="L27" s="31" t="inlineStr"/>
      <c r="M27" s="32" t="inlineStr"/>
    </row>
    <row r="28" ht="48" customHeight="1">
      <c r="A28" s="52" t="inlineStr">
        <is>
          <t>2-12</t>
        </is>
      </c>
      <c r="B28" s="34" t="inlineStr">
        <is>
          <t>OX</t>
        </is>
      </c>
      <c r="C28" s="34" t="inlineStr">
        <is>
          <t>L1</t>
        </is>
      </c>
      <c r="D28" s="35" t="inlineStr">
        <is>
          <t>생활안전</t>
        </is>
      </c>
      <c r="E28" s="35" t="inlineStr">
        <is>
          <t>일반</t>
        </is>
      </c>
      <c r="F28" s="35" t="inlineStr">
        <is>
          <t>2회차</t>
        </is>
      </c>
      <c r="G28" s="35" t="inlineStr">
        <is>
          <t>폭염 속 주차한 차 안에 보조배터리나 라이터를 두면 폭발할 수 있다.</t>
        </is>
      </c>
      <c r="H28" s="35" t="inlineStr"/>
      <c r="I28" s="34" t="inlineStr">
        <is>
          <t>O</t>
        </is>
      </c>
      <c r="J28" s="35" t="inlineStr">
        <is>
          <t>여름철 차 실내는 90℃까지 올라갑니다. 보조배터리, 라이터, 부탄가스, 탄산음료는 반드시 꺼내십시오.</t>
        </is>
      </c>
      <c r="K28" s="36" t="inlineStr"/>
      <c r="L28" s="31" t="inlineStr"/>
      <c r="M28" s="32" t="inlineStr"/>
    </row>
    <row r="29" ht="48" customHeight="1">
      <c r="A29" s="48" t="inlineStr">
        <is>
          <t>3-01</t>
        </is>
      </c>
      <c r="B29" s="49" t="inlineStr">
        <is>
          <t>OX</t>
        </is>
      </c>
      <c r="C29" s="49" t="inlineStr">
        <is>
          <t>L1</t>
        </is>
      </c>
      <c r="D29" s="50" t="inlineStr">
        <is>
          <t>측정문항</t>
        </is>
      </c>
      <c r="E29" s="50" t="inlineStr">
        <is>
          <t>앵커 A1</t>
        </is>
      </c>
      <c r="F29" s="50" t="inlineStr">
        <is>
          <t>3회차</t>
        </is>
      </c>
      <c r="G29" s="50" t="inlineStr">
        <is>
          <t>자동심장충격기(AED)는 의료인이 아니면 사용할 수 없다.</t>
        </is>
      </c>
      <c r="H29" s="50" t="inlineStr"/>
      <c r="I29" s="49" t="inlineStr">
        <is>
          <t>X</t>
        </is>
      </c>
      <c r="J29" s="50" t="inlineStr">
        <is>
          <t>누구나 사용할 수 있고, 기기가 음성으로 안내합니다. 선의의 응급의료에 대한 면책 규정도 있습니다.</t>
        </is>
      </c>
      <c r="K29" s="51" t="inlineStr">
        <is>
          <t>응급의료법 §5-2</t>
        </is>
      </c>
      <c r="L29" s="31" t="inlineStr"/>
      <c r="M29" s="32" t="inlineStr"/>
    </row>
    <row r="30" ht="48" customHeight="1">
      <c r="A30" s="52" t="inlineStr">
        <is>
          <t>3-02</t>
        </is>
      </c>
      <c r="B30" s="34" t="inlineStr">
        <is>
          <t>OX</t>
        </is>
      </c>
      <c r="C30" s="34" t="inlineStr">
        <is>
          <t>L2</t>
        </is>
      </c>
      <c r="D30" s="35" t="inlineStr">
        <is>
          <t>측정문항</t>
        </is>
      </c>
      <c r="E30" s="35" t="inlineStr">
        <is>
          <t>앵커 A2</t>
        </is>
      </c>
      <c r="F30" s="35" t="inlineStr">
        <is>
          <t>3회차</t>
        </is>
      </c>
      <c r="G30" s="35" t="inlineStr">
        <is>
          <t>위험요인을 신고한 직원에게는 그 신고를 이유로 불리한 처우를 할 수 없다.</t>
        </is>
      </c>
      <c r="H30" s="35" t="inlineStr"/>
      <c r="I30" s="34" t="inlineStr">
        <is>
          <t>O</t>
        </is>
      </c>
      <c r="J30" s="35" t="inlineStr">
        <is>
          <t>신고자 보호가 전제되지 않으면 아무도 신고하지 않습니다. 발굴·신고 건수는 가점 요소로만 활용되며 감점 사유가 되지 않습니다.</t>
        </is>
      </c>
      <c r="K30" s="36" t="inlineStr"/>
      <c r="L30" s="31" t="inlineStr"/>
      <c r="M30" s="32" t="inlineStr"/>
    </row>
    <row r="31" ht="78" customHeight="1">
      <c r="A31" s="48" t="inlineStr">
        <is>
          <t>3-03</t>
        </is>
      </c>
      <c r="B31" s="49" t="inlineStr">
        <is>
          <t>MC4</t>
        </is>
      </c>
      <c r="C31" s="49" t="inlineStr">
        <is>
          <t>L2</t>
        </is>
      </c>
      <c r="D31" s="50" t="inlineStr">
        <is>
          <t>화재·대피</t>
        </is>
      </c>
      <c r="E31" s="50" t="inlineStr">
        <is>
          <t>일반</t>
        </is>
      </c>
      <c r="F31" s="50" t="inlineStr">
        <is>
          <t>3회차</t>
        </is>
      </c>
      <c r="G31" s="50" t="inlineStr">
        <is>
          <t>소화기를 사용할 때 가장 먼저 해야 하는 동작은?</t>
        </is>
      </c>
      <c r="H31" s="50" t="inlineStr">
        <is>
          <t>1. 노즐을 불쪽으로 향한다
2. 안전핀을 뽑는다  ✔
3. 손잡이를 움켜쥔다
4. 소화기를 흔든다</t>
        </is>
      </c>
      <c r="I31" s="49" t="inlineStr">
        <is>
          <t>2번</t>
        </is>
      </c>
      <c r="J31" s="50" t="inlineStr">
        <is>
          <t>안전핀 → 노즐 조준 → 손잡이 → 빗자루로 쓸듯이. 바람을 등지고 서십시오.</t>
        </is>
      </c>
      <c r="K31" s="51" t="inlineStr"/>
      <c r="L31" s="31" t="inlineStr"/>
      <c r="M31" s="32" t="inlineStr"/>
    </row>
    <row r="32" ht="78" customHeight="1">
      <c r="A32" s="52" t="inlineStr">
        <is>
          <t>3-04</t>
        </is>
      </c>
      <c r="B32" s="34" t="inlineStr">
        <is>
          <t>MC4</t>
        </is>
      </c>
      <c r="C32" s="34" t="inlineStr">
        <is>
          <t>L3</t>
        </is>
      </c>
      <c r="D32" s="35" t="inlineStr">
        <is>
          <t>화재·대피</t>
        </is>
      </c>
      <c r="E32" s="35" t="inlineStr">
        <is>
          <t>일반</t>
        </is>
      </c>
      <c r="F32" s="35" t="inlineStr">
        <is>
          <t>3회차</t>
        </is>
      </c>
      <c r="G32" s="35" t="inlineStr">
        <is>
          <t>축압식 분말소화기의 지시압력계 바늘이 정상 범위일 때 가리키는 색은?</t>
        </is>
      </c>
      <c r="H32" s="35" t="inlineStr">
        <is>
          <t>1. 노란색
2. 녹색  ✔
3. 빨간색
4. 흰색</t>
        </is>
      </c>
      <c r="I32" s="34" t="inlineStr">
        <is>
          <t>2번</t>
        </is>
      </c>
      <c r="J32" s="35" t="inlineStr">
        <is>
          <t>노란색은 압력 부족, 빨간색은 과압으로 모두 점검이 필요합니다. 월 1회 확인하십시오.</t>
        </is>
      </c>
      <c r="K32" s="36" t="inlineStr"/>
      <c r="L32" s="31" t="inlineStr"/>
      <c r="M32" s="32" t="inlineStr"/>
    </row>
    <row r="33" ht="48" customHeight="1">
      <c r="A33" s="48" t="inlineStr">
        <is>
          <t>3-05</t>
        </is>
      </c>
      <c r="B33" s="49" t="inlineStr">
        <is>
          <t>OX</t>
        </is>
      </c>
      <c r="C33" s="49" t="inlineStr">
        <is>
          <t>L1</t>
        </is>
      </c>
      <c r="D33" s="50" t="inlineStr">
        <is>
          <t>화재·대피</t>
        </is>
      </c>
      <c r="E33" s="50" t="inlineStr">
        <is>
          <t>일반</t>
        </is>
      </c>
      <c r="F33" s="50" t="inlineStr">
        <is>
          <t>3회차</t>
        </is>
      </c>
      <c r="G33" s="50" t="inlineStr">
        <is>
          <t>화재를 발견하면 먼저 혼자 끄려고 시도하고, 실패하면 그때 주변에 알린다.</t>
        </is>
      </c>
      <c r="H33" s="50" t="inlineStr"/>
      <c r="I33" s="49" t="inlineStr">
        <is>
          <t>X</t>
        </is>
      </c>
      <c r="J33" s="50" t="inlineStr">
        <is>
          <t>순서가 반대입니다. 큰 소리로 알리고 119에 신고한 뒤 초기소화를 시도합니다. 알리는 데는 3초면 됩니다.</t>
        </is>
      </c>
      <c r="K33" s="51" t="inlineStr"/>
      <c r="L33" s="31" t="inlineStr"/>
      <c r="M33" s="32" t="inlineStr"/>
    </row>
    <row r="34" ht="78" customHeight="1">
      <c r="A34" s="52" t="inlineStr">
        <is>
          <t>3-06</t>
        </is>
      </c>
      <c r="B34" s="34" t="inlineStr">
        <is>
          <t>MC4</t>
        </is>
      </c>
      <c r="C34" s="34" t="inlineStr">
        <is>
          <t>L2</t>
        </is>
      </c>
      <c r="D34" s="35" t="inlineStr">
        <is>
          <t>화재·대피</t>
        </is>
      </c>
      <c r="E34" s="35" t="inlineStr">
        <is>
          <t>일반</t>
        </is>
      </c>
      <c r="F34" s="35" t="inlineStr">
        <is>
          <t>3회차</t>
        </is>
      </c>
      <c r="G34" s="35" t="inlineStr">
        <is>
          <t>소화기로 초기진화를 포기하고 즉시 대피해야 하는 시점은?</t>
        </is>
      </c>
      <c r="H34" s="35" t="inlineStr">
        <is>
          <t>1. 연기가 보이기 시작할 때
2. 불길이 천장에 닿았을 때  ✔
3. 소화기를 다 썼을 때
4. 경보가 울렸을 때</t>
        </is>
      </c>
      <c r="I34" s="34" t="inlineStr">
        <is>
          <t>2번</t>
        </is>
      </c>
      <c r="J34" s="35" t="inlineStr">
        <is>
          <t>불길이 천장에 닿으면 몇 초 안에 실 전체로 확산됩니다(플래시오버). 그 시점부터 소화기는 무의미하며 대피가 유일한 선택입니다.</t>
        </is>
      </c>
      <c r="K34" s="36" t="inlineStr"/>
      <c r="L34" s="31" t="inlineStr"/>
      <c r="M34" s="32" t="inlineStr"/>
    </row>
    <row r="35" ht="78" customHeight="1">
      <c r="A35" s="48" t="inlineStr">
        <is>
          <t>3-07</t>
        </is>
      </c>
      <c r="B35" s="49" t="inlineStr">
        <is>
          <t>MC4</t>
        </is>
      </c>
      <c r="C35" s="49" t="inlineStr">
        <is>
          <t>L3</t>
        </is>
      </c>
      <c r="D35" s="50" t="inlineStr">
        <is>
          <t>화재·대피</t>
        </is>
      </c>
      <c r="E35" s="50" t="inlineStr">
        <is>
          <t>일반</t>
        </is>
      </c>
      <c r="F35" s="50" t="inlineStr">
        <is>
          <t>3회차</t>
        </is>
      </c>
      <c r="G35" s="50" t="inlineStr">
        <is>
          <t>복도에서 '출구 방향'을 알려주는 「통로유도등」의 표시 방식은?</t>
        </is>
      </c>
      <c r="H35" s="50" t="inlineStr">
        <is>
          <t>1. 녹색 바탕에 백색 그림
2. 백색 바탕에 녹색 그림  ✔
3. 적색 바탕에 백색 그림
4. 청색 바탕에 백색 그림</t>
        </is>
      </c>
      <c r="I35" s="49" t="inlineStr">
        <is>
          <t>2번</t>
        </is>
      </c>
      <c r="J35" s="50" t="inlineStr">
        <is>
          <t>출구 자체를 표시하는 피난구유도등은 '녹색 바탕+백색 그림', 방향을 표시하는 통로유도등은 '백색 바탕+녹색 그림'입니다. 바탕색으로 구분하십시오.</t>
        </is>
      </c>
      <c r="K35" s="51" t="inlineStr"/>
      <c r="L35" s="31" t="inlineStr"/>
      <c r="M35" s="32" t="inlineStr"/>
    </row>
    <row r="36" ht="78" customHeight="1">
      <c r="A36" s="52" t="inlineStr">
        <is>
          <t>3-08</t>
        </is>
      </c>
      <c r="B36" s="34" t="inlineStr">
        <is>
          <t>MC4</t>
        </is>
      </c>
      <c r="C36" s="34" t="inlineStr">
        <is>
          <t>L2</t>
        </is>
      </c>
      <c r="D36" s="35" t="inlineStr">
        <is>
          <t>화재·대피</t>
        </is>
      </c>
      <c r="E36" s="35" t="inlineStr">
        <is>
          <t>일반</t>
        </is>
      </c>
      <c r="F36" s="35" t="inlineStr">
        <is>
          <t>3회차</t>
        </is>
      </c>
      <c r="G36" s="35" t="inlineStr">
        <is>
          <t>연기가 가득한 복도를 지나 대피할 때 가장 올바른 방법은?</t>
        </is>
      </c>
      <c r="H36" s="35" t="inlineStr">
        <is>
          <t>1. 뛰어서 최단시간에 통과한다
2. 숨을 참고 똑바로 서서 이동한다
3. 젖은 수건으로 코와 입을 막고 낮은 자세로 이동한다  ✔
4. 창문을 모두 열며 이동한다</t>
        </is>
      </c>
      <c r="I36" s="34" t="inlineStr">
        <is>
          <t>3번</t>
        </is>
      </c>
      <c r="J36" s="35" t="inlineStr">
        <is>
          <t>화재 사망 원인의 대부분은 화상이 아니라 연기 질식입니다. 연기는 위로 차오르므로 낮은 자세가 생존 확률을 크게 높입니다.</t>
        </is>
      </c>
      <c r="K36" s="36" t="inlineStr"/>
      <c r="L36" s="31" t="inlineStr"/>
      <c r="M36" s="32" t="inlineStr"/>
    </row>
    <row r="37" ht="78" customHeight="1">
      <c r="A37" s="48" t="inlineStr">
        <is>
          <t>3-09</t>
        </is>
      </c>
      <c r="B37" s="49" t="inlineStr">
        <is>
          <t>ORDER</t>
        </is>
      </c>
      <c r="C37" s="49" t="inlineStr">
        <is>
          <t>L2</t>
        </is>
      </c>
      <c r="D37" s="50" t="inlineStr">
        <is>
          <t>화재·대피</t>
        </is>
      </c>
      <c r="E37" s="50" t="inlineStr">
        <is>
          <t>일반</t>
        </is>
      </c>
      <c r="F37" s="50" t="inlineStr">
        <is>
          <t>3회차</t>
        </is>
      </c>
      <c r="G37" s="50" t="inlineStr">
        <is>
          <t>실내에서 지진이 발생했을 때의 행동 순서를 배열하시오.</t>
        </is>
      </c>
      <c r="H37" s="50" t="inlineStr">
        <is>
          <t>① 계단을 이용해 건물 밖 넓은 곳으로 대피
② 탁자 아래로 들어가 머리와 몸 보호
③ 진동이 멈춘 것을 확인
④ 가스·전기 차단</t>
        </is>
      </c>
      <c r="I37" s="49" t="inlineStr">
        <is>
          <t>② → ③ → ④ → ①</t>
        </is>
      </c>
      <c r="J37" s="50" t="inlineStr">
        <is>
          <t>흔들리는 동안 이동하는 것이 가장 위험합니다. 멈춘 뒤 움직입니다.</t>
        </is>
      </c>
      <c r="K37" s="51" t="inlineStr"/>
      <c r="L37" s="31" t="inlineStr"/>
      <c r="M37" s="32" t="inlineStr"/>
    </row>
    <row r="38" ht="78" customHeight="1">
      <c r="A38" s="52" t="inlineStr">
        <is>
          <t>3-10</t>
        </is>
      </c>
      <c r="B38" s="34" t="inlineStr">
        <is>
          <t>MC4</t>
        </is>
      </c>
      <c r="C38" s="34" t="inlineStr">
        <is>
          <t>L2</t>
        </is>
      </c>
      <c r="D38" s="35" t="inlineStr">
        <is>
          <t>생활안전</t>
        </is>
      </c>
      <c r="E38" s="35" t="inlineStr">
        <is>
          <t>일반</t>
        </is>
      </c>
      <c r="F38" s="35" t="inlineStr">
        <is>
          <t>3회차</t>
        </is>
      </c>
      <c r="G38" s="35" t="inlineStr">
        <is>
          <t>집에서 가스 냄새가 났을 때 해서는 안 되는 행동은?</t>
        </is>
      </c>
      <c r="H38" s="35" t="inlineStr">
        <is>
          <t>1. 중간밸브를 잠근다
2. 창문을 열어 환기한다
3. 환풍기나 선풍기를 켠다  ✔
4. 밖으로 나가 신고한다</t>
        </is>
      </c>
      <c r="I38" s="34" t="inlineStr">
        <is>
          <t>3번</t>
        </is>
      </c>
      <c r="J38" s="35" t="inlineStr">
        <is>
          <t>스위치를 켜는 순간 스파크가 발생해 폭발할 수 있습니다. 전기제품은 일절 건드리지 말고 창문만 열어 자연 환기하십시오.</t>
        </is>
      </c>
      <c r="K38" s="36" t="inlineStr"/>
      <c r="L38" s="31" t="inlineStr"/>
      <c r="M38" s="32" t="inlineStr"/>
    </row>
    <row r="39" ht="78" customHeight="1">
      <c r="A39" s="48" t="inlineStr">
        <is>
          <t>3-11</t>
        </is>
      </c>
      <c r="B39" s="49" t="inlineStr">
        <is>
          <t>MC4</t>
        </is>
      </c>
      <c r="C39" s="49" t="inlineStr">
        <is>
          <t>L2</t>
        </is>
      </c>
      <c r="D39" s="50" t="inlineStr">
        <is>
          <t>응급처치</t>
        </is>
      </c>
      <c r="E39" s="50" t="inlineStr">
        <is>
          <t>일반</t>
        </is>
      </c>
      <c r="F39" s="50" t="inlineStr">
        <is>
          <t>3회차</t>
        </is>
      </c>
      <c r="G39" s="50" t="inlineStr">
        <is>
          <t>뜨거운 물이나 불에 화상을 입었을 때 가장 적절한 응급처치는?</t>
        </is>
      </c>
      <c r="H39" s="50" t="inlineStr">
        <is>
          <t>1. 얼음을 직접 대어 식힌다
2. 흐르는 찬물에 15~20분간 식힌다  ✔
3. 물집을 터뜨려 소독한다
4. 치약이나 된장을 바른다</t>
        </is>
      </c>
      <c r="I39" s="49" t="inlineStr">
        <is>
          <t>2번</t>
        </is>
      </c>
      <c r="J39" s="50" t="inlineStr">
        <is>
          <t>얼음 직접 접촉은 조직을 추가로 손상시킵니다. 물집은 터뜨리지 말고, 흐르는 물로 충분히 식힌 뒤 깨끗한 천으로 덮어 병원에 갑니다.</t>
        </is>
      </c>
      <c r="K39" s="51" t="inlineStr"/>
      <c r="L39" s="31" t="inlineStr"/>
      <c r="M39" s="32" t="inlineStr"/>
    </row>
    <row r="40" ht="48" customHeight="1">
      <c r="A40" s="52" t="inlineStr">
        <is>
          <t>3-12</t>
        </is>
      </c>
      <c r="B40" s="34" t="inlineStr">
        <is>
          <t>OX</t>
        </is>
      </c>
      <c r="C40" s="34" t="inlineStr">
        <is>
          <t>L1</t>
        </is>
      </c>
      <c r="D40" s="35" t="inlineStr">
        <is>
          <t>응급처치</t>
        </is>
      </c>
      <c r="E40" s="35" t="inlineStr">
        <is>
          <t>일반</t>
        </is>
      </c>
      <c r="F40" s="35" t="inlineStr">
        <is>
          <t>3회차</t>
        </is>
      </c>
      <c r="G40" s="35" t="inlineStr">
        <is>
          <t>음식물이 목에 걸려 말을 못 하고 목을 감싸 쥔 사람에게는 등을 두드리기보다 복부를 밀어 올리는 처치(하임리히법)를 한다.</t>
        </is>
      </c>
      <c r="H40" s="35" t="inlineStr"/>
      <c r="I40" s="34" t="inlineStr">
        <is>
          <t>O</t>
        </is>
      </c>
      <c r="J40" s="35" t="inlineStr">
        <is>
          <t>기침도 못 할 정도면 완전 기도폐쇄입니다. 뒤에서 감싸 안고 배꼽과 명치 사이를 안쪽·위쪽으로 강하게 밀어 올립니다.</t>
        </is>
      </c>
      <c r="K40" s="36" t="inlineStr"/>
      <c r="L40" s="31" t="inlineStr"/>
      <c r="M40" s="32" t="inlineStr"/>
    </row>
    <row r="41" ht="78" customHeight="1">
      <c r="A41" s="48" t="inlineStr">
        <is>
          <t>4-01</t>
        </is>
      </c>
      <c r="B41" s="49" t="inlineStr">
        <is>
          <t>MC4</t>
        </is>
      </c>
      <c r="C41" s="49" t="inlineStr">
        <is>
          <t>L1</t>
        </is>
      </c>
      <c r="D41" s="50" t="inlineStr">
        <is>
          <t>측정문항</t>
        </is>
      </c>
      <c r="E41" s="50" t="inlineStr">
        <is>
          <t>앵커 A1</t>
        </is>
      </c>
      <c r="F41" s="50" t="inlineStr">
        <is>
          <t>4회차</t>
        </is>
      </c>
      <c r="G41" s="50" t="inlineStr">
        <is>
          <t>심정지 발생 후 뇌 손상 없이 소생할 가능성이 큰 시간, 이른바 '골든타임'은?</t>
        </is>
      </c>
      <c r="H41" s="50" t="inlineStr">
        <is>
          <t>1. 1분
2. 4분  ✔
3. 10분
4. 30분</t>
        </is>
      </c>
      <c r="I41" s="49" t="inlineStr">
        <is>
          <t>2번</t>
        </is>
      </c>
      <c r="J41" s="50" t="inlineStr">
        <is>
          <t>4분이 지나면 뇌 손상이 시작되고, 10분이 넘으면 소생 가능성이 급격히 낮아집니다. 119 도착 평균 시간을 고려하면 목격자의 첫 대응이 결정적입니다.</t>
        </is>
      </c>
      <c r="K41" s="51" t="inlineStr"/>
      <c r="L41" s="31" t="inlineStr"/>
      <c r="M41" s="32" t="inlineStr"/>
    </row>
    <row r="42" ht="78" customHeight="1">
      <c r="A42" s="52" t="inlineStr">
        <is>
          <t>4-02</t>
        </is>
      </c>
      <c r="B42" s="34" t="inlineStr">
        <is>
          <t>MC4</t>
        </is>
      </c>
      <c r="C42" s="34" t="inlineStr">
        <is>
          <t>L2</t>
        </is>
      </c>
      <c r="D42" s="35" t="inlineStr">
        <is>
          <t>측정문항</t>
        </is>
      </c>
      <c r="E42" s="35" t="inlineStr">
        <is>
          <t>앵커 A2</t>
        </is>
      </c>
      <c r="F42" s="35" t="inlineStr">
        <is>
          <t>4회차</t>
        </is>
      </c>
      <c r="G42" s="35" t="inlineStr">
        <is>
          <t>사무실에서 바닥에 늘어진 전선을 발견했다. 가장 바람직한 행동은?</t>
        </is>
      </c>
      <c r="H42" s="35" t="inlineStr">
        <is>
          <t>1. 못 본 척한다
2. 나만 조심해서 지나간다
3. 즉시 정리할 수 있으면 정리하고, 구조적 문제면 신고한다  ✔
4. 부서 회의 때 안건으로 올린다</t>
        </is>
      </c>
      <c r="I42" s="34" t="inlineStr">
        <is>
          <t>3번</t>
        </is>
      </c>
      <c r="J42" s="35" t="inlineStr">
        <is>
          <t>내가 지금 없앨 수 있는 위험은 바로 없애고, 혼자 해결할 수 없는 것은 신고합니다. 발견-조치-신고가 안전관리의 기본 순환입니다.</t>
        </is>
      </c>
      <c r="K42" s="36" t="inlineStr"/>
      <c r="L42" s="31" t="inlineStr"/>
      <c r="M42" s="32" t="inlineStr"/>
    </row>
    <row r="43" ht="78" customHeight="1">
      <c r="A43" s="48" t="inlineStr">
        <is>
          <t>4-03</t>
        </is>
      </c>
      <c r="B43" s="49" t="inlineStr">
        <is>
          <t>MC4</t>
        </is>
      </c>
      <c r="C43" s="49" t="inlineStr">
        <is>
          <t>L2</t>
        </is>
      </c>
      <c r="D43" s="50" t="inlineStr">
        <is>
          <t>사무실 안전</t>
        </is>
      </c>
      <c r="E43" s="50" t="inlineStr">
        <is>
          <t>일반</t>
        </is>
      </c>
      <c r="F43" s="50" t="inlineStr">
        <is>
          <t>4회차</t>
        </is>
      </c>
      <c r="G43" s="50" t="inlineStr">
        <is>
          <t>사무실에서 넘어짐(전도) 사고를 줄이기 위한 조치로 가장 효과가 큰 것은?</t>
        </is>
      </c>
      <c r="H43" s="50" t="inlineStr">
        <is>
          <t>1. 실내화를 지급한다
2. 바닥 물기 즉시 제거, 전선 정리, 통로 적재물 제거  ✔
3. 안전 표지를 부착한다
4. 조심하라고 교육한다</t>
        </is>
      </c>
      <c r="I43" s="49" t="inlineStr">
        <is>
          <t>2번</t>
        </is>
      </c>
      <c r="J43" s="50" t="inlineStr">
        <is>
          <t>사무직 최다 사고 유형이 넘어짐입니다. '조심하기'는 대책이 아니고, 위험 자체를 없애는 것이 대책입니다.</t>
        </is>
      </c>
      <c r="K43" s="51" t="inlineStr"/>
      <c r="L43" s="31" t="inlineStr"/>
      <c r="M43" s="32" t="inlineStr"/>
    </row>
    <row r="44" ht="48" customHeight="1">
      <c r="A44" s="52" t="inlineStr">
        <is>
          <t>4-04</t>
        </is>
      </c>
      <c r="B44" s="34" t="inlineStr">
        <is>
          <t>OX</t>
        </is>
      </c>
      <c r="C44" s="34" t="inlineStr">
        <is>
          <t>L2</t>
        </is>
      </c>
      <c r="D44" s="35" t="inlineStr">
        <is>
          <t>사무실 안전</t>
        </is>
      </c>
      <c r="E44" s="35" t="inlineStr">
        <is>
          <t>일반</t>
        </is>
      </c>
      <c r="F44" s="35" t="inlineStr">
        <is>
          <t>4회차</t>
        </is>
      </c>
      <c r="G44" s="35" t="inlineStr">
        <is>
          <t>높이가 높은 서류 캐비닛이나 책장은 벽 또는 옆 캐비닛에 고정해야 한다.</t>
        </is>
      </c>
      <c r="H44" s="35" t="inlineStr"/>
      <c r="I44" s="34" t="inlineStr">
        <is>
          <t>O</t>
        </is>
      </c>
      <c r="J44" s="35" t="inlineStr">
        <is>
          <t>서랍을 여는 순간 무게중심이 앞으로 쏠려 넘어집니다. 지진 시에도 최우선 위험 요소이며, 무거운 물건은 아래 칸에 보관합니다.</t>
        </is>
      </c>
      <c r="K44" s="36" t="inlineStr"/>
      <c r="L44" s="31" t="inlineStr"/>
      <c r="M44" s="32" t="inlineStr"/>
    </row>
    <row r="45" ht="48" customHeight="1">
      <c r="A45" s="48" t="inlineStr">
        <is>
          <t>4-05</t>
        </is>
      </c>
      <c r="B45" s="49" t="inlineStr">
        <is>
          <t>OX</t>
        </is>
      </c>
      <c r="C45" s="49" t="inlineStr">
        <is>
          <t>L1</t>
        </is>
      </c>
      <c r="D45" s="50" t="inlineStr">
        <is>
          <t>사무실 안전</t>
        </is>
      </c>
      <c r="E45" s="50" t="inlineStr">
        <is>
          <t>일반</t>
        </is>
      </c>
      <c r="F45" s="50" t="inlineStr">
        <is>
          <t>4회차</t>
        </is>
      </c>
      <c r="G45" s="50" t="inlineStr">
        <is>
          <t>콘센트에 먼지가 쌓여 있어도 전기가 통하지 않으므로 화재와는 무관하다.</t>
        </is>
      </c>
      <c r="H45" s="50" t="inlineStr"/>
      <c r="I45" s="49" t="inlineStr">
        <is>
          <t>X</t>
        </is>
      </c>
      <c r="J45" s="50" t="inlineStr">
        <is>
          <t>먼지가 습기를 흡수하면 절연이 파괴되어 미세한 전류가 흐르고, 이것이 탄화되며 발화합니다(트래킹 현상). 사무실 화재의 흔한 원인입니다.</t>
        </is>
      </c>
      <c r="K45" s="51" t="inlineStr"/>
      <c r="L45" s="31" t="inlineStr"/>
      <c r="M45" s="32" t="inlineStr"/>
    </row>
    <row r="46" ht="48" customHeight="1">
      <c r="A46" s="52" t="inlineStr">
        <is>
          <t>4-06</t>
        </is>
      </c>
      <c r="B46" s="34" t="inlineStr">
        <is>
          <t>OX</t>
        </is>
      </c>
      <c r="C46" s="34" t="inlineStr">
        <is>
          <t>L1</t>
        </is>
      </c>
      <c r="D46" s="35" t="inlineStr">
        <is>
          <t>생활안전</t>
        </is>
      </c>
      <c r="E46" s="35" t="inlineStr">
        <is>
          <t>일반</t>
        </is>
      </c>
      <c r="F46" s="35" t="inlineStr">
        <is>
          <t>4회차</t>
        </is>
      </c>
      <c r="G46" s="35" t="inlineStr">
        <is>
          <t>보조배터리가 부풀어 올랐다면 충전만 하지 않으면 계속 사용해도 된다.</t>
        </is>
      </c>
      <c r="H46" s="35" t="inlineStr"/>
      <c r="I46" s="34" t="inlineStr">
        <is>
          <t>X</t>
        </is>
      </c>
      <c r="J46" s="35" t="inlineStr">
        <is>
          <t>부풀음(스웰링)은 내부 손상 신호로, 즉시 사용을 중단하고 전지류 전용 수거함에 배출합니다. 침대 위 충전과 차량 내 방치는 금지입니다.</t>
        </is>
      </c>
      <c r="K46" s="36" t="inlineStr"/>
      <c r="L46" s="31" t="inlineStr"/>
      <c r="M46" s="32" t="inlineStr"/>
    </row>
    <row r="47" ht="78" customHeight="1">
      <c r="A47" s="48" t="inlineStr">
        <is>
          <t>4-07</t>
        </is>
      </c>
      <c r="B47" s="49" t="inlineStr">
        <is>
          <t>MC4</t>
        </is>
      </c>
      <c r="C47" s="49" t="inlineStr">
        <is>
          <t>L1</t>
        </is>
      </c>
      <c r="D47" s="50" t="inlineStr">
        <is>
          <t>응급처치</t>
        </is>
      </c>
      <c r="E47" s="50" t="inlineStr">
        <is>
          <t>일반</t>
        </is>
      </c>
      <c r="F47" s="50" t="inlineStr">
        <is>
          <t>4회차</t>
        </is>
      </c>
      <c r="G47" s="50" t="inlineStr">
        <is>
          <t>팔에 상처가 나 피가 흐를 때 가장 먼저 해야 할 처치는?</t>
        </is>
      </c>
      <c r="H47" s="50" t="inlineStr">
        <is>
          <t>1. 상처를 물로 씻는다
2. 깨끗한 천으로 상처를 직접 강하게 누른다  ✔
3. 팔을 묶어 혈류를 차단한다
4. 소독약을 붓는다</t>
        </is>
      </c>
      <c r="I47" s="49" t="inlineStr">
        <is>
          <t>2번</t>
        </is>
      </c>
      <c r="J47" s="50" t="inlineStr">
        <is>
          <t>직접 압박이 가장 효과적입니다. 압박한 천은 떼지 말고 위에 덧대며, 가능하면 상처를 심장보다 높게 유지합니다. 지혈대 사용은 최후 수단입니다.</t>
        </is>
      </c>
      <c r="K47" s="51" t="inlineStr"/>
      <c r="L47" s="31" t="inlineStr"/>
      <c r="M47" s="32" t="inlineStr"/>
    </row>
    <row r="48" ht="78" customHeight="1">
      <c r="A48" s="52" t="inlineStr">
        <is>
          <t>4-08</t>
        </is>
      </c>
      <c r="B48" s="34" t="inlineStr">
        <is>
          <t>MC4</t>
        </is>
      </c>
      <c r="C48" s="34" t="inlineStr">
        <is>
          <t>L2</t>
        </is>
      </c>
      <c r="D48" s="35" t="inlineStr">
        <is>
          <t>직장 건강</t>
        </is>
      </c>
      <c r="E48" s="35" t="inlineStr">
        <is>
          <t>일반</t>
        </is>
      </c>
      <c r="F48" s="35" t="inlineStr">
        <is>
          <t>4회차</t>
        </is>
      </c>
      <c r="G48" s="35" t="inlineStr">
        <is>
          <t>컴퓨터 작업 시 모니터 화면의 높이는 어디에 두는 것이 적절한가?</t>
        </is>
      </c>
      <c r="H48" s="35" t="inlineStr">
        <is>
          <t>1. 눈높이보다 높게
2. 눈높이보다 약간 낮게  ✔
3. 눈높이와 정확히 수평으로
4. 책상 바닥에 가깝게</t>
        </is>
      </c>
      <c r="I48" s="34" t="inlineStr">
        <is>
          <t>2번</t>
        </is>
      </c>
      <c r="J48" s="35" t="inlineStr">
        <is>
          <t>화면 상단이 눈높이보다 약간 아래에 오면 목이 자연스럽게 유지됩니다. 노트북을 그냥 책상에 놓고 쓰면 목이 계속 숙여져 목·어깨 통증의 원인이 됩니다.</t>
        </is>
      </c>
      <c r="K48" s="36" t="inlineStr">
        <is>
          <t>안전보건규칙 §667</t>
        </is>
      </c>
      <c r="L48" s="31" t="inlineStr"/>
      <c r="M48" s="32" t="inlineStr"/>
    </row>
    <row r="49" ht="78" customHeight="1">
      <c r="A49" s="48" t="inlineStr">
        <is>
          <t>4-09</t>
        </is>
      </c>
      <c r="B49" s="49" t="inlineStr">
        <is>
          <t>MC4</t>
        </is>
      </c>
      <c r="C49" s="49" t="inlineStr">
        <is>
          <t>L3</t>
        </is>
      </c>
      <c r="D49" s="50" t="inlineStr">
        <is>
          <t>직장 건강</t>
        </is>
      </c>
      <c r="E49" s="50" t="inlineStr">
        <is>
          <t>일반</t>
        </is>
      </c>
      <c r="F49" s="50" t="inlineStr">
        <is>
          <t>4회차</t>
        </is>
      </c>
      <c r="G49" s="50" t="inlineStr">
        <is>
          <t>근골격계부담작업 유해요인조사에 관한 설명으로 옳은 것은?</t>
        </is>
      </c>
      <c r="H49" s="50" t="inlineStr">
        <is>
          <t>1. 조사 의무가 없다
2. 5년마다 실시한다
3. 3년마다 실시하되, 새로운 설비 도입 등 사유 발생 시 1개월 이내에 실시한다  ✔
4. 근로자 요구가 있을 때만 실시한다</t>
        </is>
      </c>
      <c r="I49" s="49" t="inlineStr">
        <is>
          <t>3번</t>
        </is>
      </c>
      <c r="J49" s="50" t="inlineStr">
        <is>
          <t>정기 조사는 3년마다 실시하고, 새로운 작업·설비 도입이나 작업환경 변경 등 사유가 발생하면 1개월 이내에 실시합니다.</t>
        </is>
      </c>
      <c r="K49" s="51" t="inlineStr">
        <is>
          <t>안전보건규칙 §657</t>
        </is>
      </c>
      <c r="L49" s="31" t="inlineStr"/>
      <c r="M49" s="32" t="inlineStr"/>
    </row>
    <row r="50" ht="78" customHeight="1">
      <c r="A50" s="52" t="inlineStr">
        <is>
          <t>4-10</t>
        </is>
      </c>
      <c r="B50" s="34" t="inlineStr">
        <is>
          <t>MC4</t>
        </is>
      </c>
      <c r="C50" s="34" t="inlineStr">
        <is>
          <t>L2</t>
        </is>
      </c>
      <c r="D50" s="35" t="inlineStr">
        <is>
          <t>직장 건강</t>
        </is>
      </c>
      <c r="E50" s="35" t="inlineStr">
        <is>
          <t>일반</t>
        </is>
      </c>
      <c r="F50" s="35" t="inlineStr">
        <is>
          <t>4회차</t>
        </is>
      </c>
      <c r="G50" s="35" t="inlineStr">
        <is>
          <t>눈의 피로를 줄이기 위한 이른바 '20-20-20 규칙'의 내용은?</t>
        </is>
      </c>
      <c r="H50" s="35" t="inlineStr">
        <is>
          <t>1. 20분마다 20초간 눈을 감는다
2. 20분마다 20초간 6m(20피트) 이상 먼 곳을 본다  ✔
3. 20분마다 20회 눈을 깜빡인다
4. 하루 20분씩 20회 휴식한다</t>
        </is>
      </c>
      <c r="I50" s="34" t="inlineStr">
        <is>
          <t>2번</t>
        </is>
      </c>
      <c r="J50" s="35" t="inlineStr">
        <is>
          <t>가까운 곳만 보면 눈 근육이 수축된 채 굳습니다. 창밖을 20초 보는 것만으로 회복됩니다.</t>
        </is>
      </c>
      <c r="K50" s="36" t="inlineStr"/>
      <c r="L50" s="31" t="inlineStr"/>
      <c r="M50" s="32" t="inlineStr"/>
    </row>
    <row r="51" ht="78" customHeight="1">
      <c r="A51" s="48" t="inlineStr">
        <is>
          <t>4-11</t>
        </is>
      </c>
      <c r="B51" s="49" t="inlineStr">
        <is>
          <t>MC4</t>
        </is>
      </c>
      <c r="C51" s="49" t="inlineStr">
        <is>
          <t>L3</t>
        </is>
      </c>
      <c r="D51" s="50" t="inlineStr">
        <is>
          <t>직장 건강</t>
        </is>
      </c>
      <c r="E51" s="50" t="inlineStr">
        <is>
          <t>일반</t>
        </is>
      </c>
      <c r="F51" s="50" t="inlineStr">
        <is>
          <t>4회차</t>
        </is>
      </c>
      <c r="G51" s="50" t="inlineStr">
        <is>
          <t>민원인의 폭언 등으로 직원의 건강장해가 우려될 때 사업주가 해야 할 조치가 아닌 것은?</t>
        </is>
      </c>
      <c r="H51" s="50" t="inlineStr">
        <is>
          <t>1. 업무의 일시적 중단 또는 전환
2. 휴게시간 연장
3. 치료·상담 지원
4. 직원에게 응대 매뉴얼을 다시 교육  ✔</t>
        </is>
      </c>
      <c r="I51" s="49" t="inlineStr">
        <is>
          <t>4번</t>
        </is>
      </c>
      <c r="J51" s="50" t="inlineStr">
        <is>
          <t>재교육은 보호조치가 아닙니다. 법은 업무 중단·전환, 휴게시간 연장, 치료·상담 지원, 고소·고발 지원을 규정하며, 직원이 이를 요구했다는 이유로 불리한 처우를 할 수 없습니다.</t>
        </is>
      </c>
      <c r="K51" s="51" t="inlineStr">
        <is>
          <t>산안법 §41</t>
        </is>
      </c>
      <c r="L51" s="31" t="inlineStr"/>
      <c r="M51" s="32" t="inlineStr"/>
    </row>
    <row r="52" ht="78" customHeight="1">
      <c r="A52" s="52" t="inlineStr">
        <is>
          <t>4-12</t>
        </is>
      </c>
      <c r="B52" s="34" t="inlineStr">
        <is>
          <t>MC4</t>
        </is>
      </c>
      <c r="C52" s="34" t="inlineStr">
        <is>
          <t>L1</t>
        </is>
      </c>
      <c r="D52" s="35" t="inlineStr">
        <is>
          <t>생활안전</t>
        </is>
      </c>
      <c r="E52" s="35" t="inlineStr">
        <is>
          <t>일반</t>
        </is>
      </c>
      <c r="F52" s="35" t="inlineStr">
        <is>
          <t>4회차</t>
        </is>
      </c>
      <c r="G52" s="35" t="inlineStr">
        <is>
          <t>갑자기 한쪽 얼굴이 처지고 팔에 힘이 빠지며 말이 어눌해졌다. 가장 적절한 대응은?</t>
        </is>
      </c>
      <c r="H52" s="35" t="inlineStr">
        <is>
          <t>1. 안정될 때까지 누워서 쉰다
2. 혈압약을 먹고 지켜본다
3. 즉시 119에 신고한다  ✔
4. 다음날 병원에 간다</t>
        </is>
      </c>
      <c r="I52" s="34" t="inlineStr">
        <is>
          <t>3번</t>
        </is>
      </c>
      <c r="J52" s="35" t="inlineStr">
        <is>
          <t>뇌졸중 의심 증상(얼굴·팔·언어)이며 치료 가능 시간이 매우 짧습니다. 증상이 사라져도 반드시 병원에 가야 합니다. 가족에게도 알려두십시오.</t>
        </is>
      </c>
      <c r="K52" s="36" t="inlineStr"/>
      <c r="L52" s="31" t="inlineStr"/>
      <c r="M52" s="32" t="inlineStr"/>
    </row>
    <row r="53" ht="78" customHeight="1">
      <c r="A53" s="48" t="inlineStr">
        <is>
          <t>5-01</t>
        </is>
      </c>
      <c r="B53" s="49" t="inlineStr">
        <is>
          <t>MC4</t>
        </is>
      </c>
      <c r="C53" s="49" t="inlineStr">
        <is>
          <t>L3</t>
        </is>
      </c>
      <c r="D53" s="50" t="inlineStr">
        <is>
          <t>측정문항</t>
        </is>
      </c>
      <c r="E53" s="50" t="inlineStr">
        <is>
          <t>앵커 A1</t>
        </is>
      </c>
      <c r="F53" s="50" t="inlineStr">
        <is>
          <t>5회차</t>
        </is>
      </c>
      <c r="G53" s="50" t="inlineStr">
        <is>
          <t>자동심장충격기(AED) 패드의 올바른 부착 위치는?</t>
        </is>
      </c>
      <c r="H53" s="50" t="inlineStr">
        <is>
          <t>1. 양쪽 가슴 정중앙에 나란히
2. 오른쪽 쇄골 아래와 왼쪽 젖꼭지 아래 옆구리  ✔
3. 등과 가슴에 마주보게
4. 목과 배에 각각</t>
        </is>
      </c>
      <c r="I53" s="49" t="inlineStr">
        <is>
          <t>2번</t>
        </is>
      </c>
      <c r="J53" s="50" t="inlineStr">
        <is>
          <t>심장을 대각선으로 관통하도록 붙여야 전기충격이 전달됩니다. 기기에 그림이 그려져 있으니 그대로 따르면 됩니다.</t>
        </is>
      </c>
      <c r="K53" s="51" t="inlineStr"/>
      <c r="L53" s="31" t="inlineStr"/>
      <c r="M53" s="32" t="inlineStr"/>
    </row>
    <row r="54" ht="78" customHeight="1">
      <c r="A54" s="52" t="inlineStr">
        <is>
          <t>5-02</t>
        </is>
      </c>
      <c r="B54" s="34" t="inlineStr">
        <is>
          <t>MC4</t>
        </is>
      </c>
      <c r="C54" s="34" t="inlineStr">
        <is>
          <t>L2</t>
        </is>
      </c>
      <c r="D54" s="35" t="inlineStr">
        <is>
          <t>측정문항</t>
        </is>
      </c>
      <c r="E54" s="35" t="inlineStr">
        <is>
          <t>앵커 A2</t>
        </is>
      </c>
      <c r="F54" s="35" t="inlineStr">
        <is>
          <t>5회차</t>
        </is>
      </c>
      <c r="G54" s="35" t="inlineStr">
        <is>
          <t>안전신문고에 신고한 위험요인은 이후 어떻게 처리되는가?</t>
        </is>
      </c>
      <c r="H54" s="35" t="inlineStr">
        <is>
          <t>1. 접수만 되고 별도 조치는 없다
2. 담당 부서 확인 → 조치 계획 수립 → 개선 → 결과 회신  ✔
3. 연말에 일괄 검토한다
4. 신고자가 직접 개선한다</t>
        </is>
      </c>
      <c r="I54" s="34" t="inlineStr">
        <is>
          <t>2번</t>
        </is>
      </c>
      <c r="J54" s="35" t="inlineStr">
        <is>
          <t>신고가 개선으로 이어지고 결과가 회신되는 순환이 돌아야 다음 신고가 나옵니다. 회신 없는 신고 제도는 1년 안에 죽습니다.</t>
        </is>
      </c>
      <c r="K54" s="36" t="inlineStr"/>
      <c r="L54" s="31" t="inlineStr"/>
      <c r="M54" s="32" t="inlineStr"/>
    </row>
    <row r="55" ht="93" customHeight="1">
      <c r="A55" s="48" t="inlineStr">
        <is>
          <t>5-03</t>
        </is>
      </c>
      <c r="B55" s="49" t="inlineStr">
        <is>
          <t>ORDER</t>
        </is>
      </c>
      <c r="C55" s="49" t="inlineStr">
        <is>
          <t>L2</t>
        </is>
      </c>
      <c r="D55" s="50" t="inlineStr">
        <is>
          <t>위험성평가</t>
        </is>
      </c>
      <c r="E55" s="50" t="inlineStr">
        <is>
          <t>일반</t>
        </is>
      </c>
      <c r="F55" s="50" t="inlineStr">
        <is>
          <t>5회차</t>
        </is>
      </c>
      <c r="G55" s="50" t="inlineStr">
        <is>
          <t>위험성평가의 실시 절차를 순서대로 배열하시오.</t>
        </is>
      </c>
      <c r="H55" s="50" t="inlineStr">
        <is>
          <t>① 위험성 결정
② 사전준비
③ 위험성평가 공유 및 기록·보존
④ 유해·위험요인 파악
⑤ 감소대책 수립 및 실행</t>
        </is>
      </c>
      <c r="I55" s="49" t="inlineStr">
        <is>
          <t>② → ④ → ① → ⑤ → ③</t>
        </is>
      </c>
      <c r="J55" s="50" t="inlineStr">
        <is>
          <t>2023년 개정 고시부터 '위험성 추정' 단계가 삭제되고 5단계로 정비되었습니다.</t>
        </is>
      </c>
      <c r="K55" s="51" t="inlineStr">
        <is>
          <t>사업장 위험성평가에 관한 지침</t>
        </is>
      </c>
      <c r="L55" s="31" t="inlineStr"/>
      <c r="M55" s="32" t="inlineStr"/>
    </row>
    <row r="56" ht="78" customHeight="1">
      <c r="A56" s="52" t="inlineStr">
        <is>
          <t>5-04</t>
        </is>
      </c>
      <c r="B56" s="34" t="inlineStr">
        <is>
          <t>MC4</t>
        </is>
      </c>
      <c r="C56" s="34" t="inlineStr">
        <is>
          <t>L2</t>
        </is>
      </c>
      <c r="D56" s="35" t="inlineStr">
        <is>
          <t>측정문항</t>
        </is>
      </c>
      <c r="E56" s="35" t="inlineStr">
        <is>
          <t>사후 M01P</t>
        </is>
      </c>
      <c r="F56" s="35" t="inlineStr">
        <is>
          <t>5회차</t>
        </is>
      </c>
      <c r="G56" s="35" t="inlineStr">
        <is>
          <t>사무실 휴지통에서 불이 났다. 소화기를 들고 달려갔을 때 취할 행동을 순서대로 나열한 것은?</t>
        </is>
      </c>
      <c r="H56" s="35" t="inlineStr">
        <is>
          <t>1. 손잡이 → 안전핀 → 조준
2. 안전핀 → 조준 → 손잡이  ✔
3. 조준 → 안전핀 → 손잡이
4. 안전핀 → 손잡이 → 조준</t>
        </is>
      </c>
      <c r="I56" s="34" t="inlineStr">
        <is>
          <t>2번</t>
        </is>
      </c>
      <c r="J56" s="35" t="inlineStr">
        <is>
          <t>안전핀을 뽑지 않으면 손잡이가 눌리지 않습니다. 바람을 등지고, 불의 밑부분을 빗자루로 쓸듯이 분사합니다.</t>
        </is>
      </c>
      <c r="K56" s="36" t="inlineStr"/>
      <c r="L56" s="31" t="inlineStr"/>
      <c r="M56" s="32" t="inlineStr"/>
    </row>
    <row r="57" ht="78" customHeight="1">
      <c r="A57" s="48" t="inlineStr">
        <is>
          <t>5-05</t>
        </is>
      </c>
      <c r="B57" s="49" t="inlineStr">
        <is>
          <t>MC4</t>
        </is>
      </c>
      <c r="C57" s="49" t="inlineStr">
        <is>
          <t>L2</t>
        </is>
      </c>
      <c r="D57" s="50" t="inlineStr">
        <is>
          <t>측정문항</t>
        </is>
      </c>
      <c r="E57" s="50" t="inlineStr">
        <is>
          <t>사후 M02P</t>
        </is>
      </c>
      <c r="F57" s="50" t="inlineStr">
        <is>
          <t>5회차</t>
        </is>
      </c>
      <c r="G57" s="50" t="inlineStr">
        <is>
          <t>사무실 배전반에서 연기가 나며 불꽃이 튀고 있다. 이 화재의 급수와 우선 조치는?</t>
        </is>
      </c>
      <c r="H57" s="50" t="inlineStr">
        <is>
          <t>1. A급 — 물을 뿌린다
2. B급 — 모래를 덮는다
3. C급 — 전원을 차단하고 소화기를 사용한다  ✔
4. K급 — 뚜껑으로 덮는다</t>
        </is>
      </c>
      <c r="I57" s="49" t="inlineStr">
        <is>
          <t>3번</t>
        </is>
      </c>
      <c r="J57" s="50" t="inlineStr">
        <is>
          <t>전기화재는 C급입니다. 통전 상태에서 물을 쓰면 감전됩니다. 전원 차단이 최우선이고, ABC 분말소화기를 사용합니다.</t>
        </is>
      </c>
      <c r="K57" s="51" t="inlineStr"/>
      <c r="L57" s="31" t="inlineStr"/>
      <c r="M57" s="32" t="inlineStr"/>
    </row>
    <row r="58" ht="78" customHeight="1">
      <c r="A58" s="52" t="inlineStr">
        <is>
          <t>5-06</t>
        </is>
      </c>
      <c r="B58" s="34" t="inlineStr">
        <is>
          <t>MC4</t>
        </is>
      </c>
      <c r="C58" s="34" t="inlineStr">
        <is>
          <t>L1</t>
        </is>
      </c>
      <c r="D58" s="35" t="inlineStr">
        <is>
          <t>측정문항</t>
        </is>
      </c>
      <c r="E58" s="35" t="inlineStr">
        <is>
          <t>사후 M03P</t>
        </is>
      </c>
      <c r="F58" s="35" t="inlineStr">
        <is>
          <t>5회차</t>
        </is>
      </c>
      <c r="G58" s="35" t="inlineStr">
        <is>
          <t>탕비실에서 튀김 요리 중 냄비의 기름에 불이 붙었다. 가장 적절한 조치는?</t>
        </is>
      </c>
      <c r="H58" s="35" t="inlineStr">
        <is>
          <t>1. 싱크대로 옮겨 물을 붓는다
2. 컵으로 물을 뿌린다
3. 불을 끄고 냄비 뚜껑이나 큰 접시로 덮는다  ✔
4. 밀가루를 뿌린다</t>
        </is>
      </c>
      <c r="I58" s="34" t="inlineStr">
        <is>
          <t>3번</t>
        </is>
      </c>
      <c r="J58" s="35" t="inlineStr">
        <is>
          <t>물은 기름을 튀겨 불을 폭발적으로 확산시킵니다. 산소를 차단하는 것이 정답이며, 이동시키는 것도 위험합니다.</t>
        </is>
      </c>
      <c r="K58" s="36" t="inlineStr"/>
      <c r="L58" s="31" t="inlineStr"/>
      <c r="M58" s="32" t="inlineStr"/>
    </row>
    <row r="59" ht="78" customHeight="1">
      <c r="A59" s="48" t="inlineStr">
        <is>
          <t>5-07</t>
        </is>
      </c>
      <c r="B59" s="49" t="inlineStr">
        <is>
          <t>MC4</t>
        </is>
      </c>
      <c r="C59" s="49" t="inlineStr">
        <is>
          <t>L1</t>
        </is>
      </c>
      <c r="D59" s="50" t="inlineStr">
        <is>
          <t>측정문항</t>
        </is>
      </c>
      <c r="E59" s="50" t="inlineStr">
        <is>
          <t>사후 M04P</t>
        </is>
      </c>
      <c r="F59" s="50" t="inlineStr">
        <is>
          <t>5회차</t>
        </is>
      </c>
      <c r="G59" s="50" t="inlineStr">
        <is>
          <t>8층 사무실에서 화재경보가 울리고 복도에 연기가 보인다. 가장 적절한 행동은?</t>
        </is>
      </c>
      <c r="H59" s="50" t="inlineStr">
        <is>
          <t>1. 엘리베이터로 1층까지 내려간다
2. 창문을 열고 구조를 기다린다
3. 계단으로 아래층 또는 지상까지 대피한다  ✔
4. 자리에서 상황이 정리되기를 기다린다</t>
        </is>
      </c>
      <c r="I59" s="49" t="inlineStr">
        <is>
          <t>3번</t>
        </is>
      </c>
      <c r="J59" s="50" t="inlineStr">
        <is>
          <t>엘리베이터는 정전 시 갇히고 연기 통로가 됩니다. 계단으로, 낮은 자세로, 코와 입을 막고 이동합니다.</t>
        </is>
      </c>
      <c r="K59" s="51" t="inlineStr"/>
      <c r="L59" s="31" t="inlineStr"/>
      <c r="M59" s="32" t="inlineStr"/>
    </row>
    <row r="60" ht="78" customHeight="1">
      <c r="A60" s="52" t="inlineStr">
        <is>
          <t>5-08</t>
        </is>
      </c>
      <c r="B60" s="34" t="inlineStr">
        <is>
          <t>MC4</t>
        </is>
      </c>
      <c r="C60" s="34" t="inlineStr">
        <is>
          <t>L3</t>
        </is>
      </c>
      <c r="D60" s="35" t="inlineStr">
        <is>
          <t>측정문항</t>
        </is>
      </c>
      <c r="E60" s="35" t="inlineStr">
        <is>
          <t>사후 M05P</t>
        </is>
      </c>
      <c r="F60" s="35" t="inlineStr">
        <is>
          <t>5회차</t>
        </is>
      </c>
      <c r="G60" s="35" t="inlineStr">
        <is>
          <t>대피 중 복도에서 아래 두 표지를 보았다. ㉠은 녹색 바탕에 백색 사람 그림, ㉡은 백색 바탕에 녹색 화살표다. 출구가 있는 곳으로 향하려면?</t>
        </is>
      </c>
      <c r="H60" s="35" t="inlineStr">
        <is>
          <t>1. ㉡ 방향으로만 간다
2. ㉡의 화살표를 따라가 ㉠이 있는 지점으로 나간다  ✔
3. ㉠은 소화기 위치 표시다
4. 둘은 같은 표지다</t>
        </is>
      </c>
      <c r="I60" s="34" t="inlineStr">
        <is>
          <t>2번</t>
        </is>
      </c>
      <c r="J60" s="35" t="inlineStr">
        <is>
          <t>녹색 바탕(㉠)=출구 자체, 백색 바탕(㉡)=출구 방향. 바탕색이 녹색인 곳이 나가는 문입니다.</t>
        </is>
      </c>
      <c r="K60" s="36" t="inlineStr"/>
      <c r="L60" s="31" t="inlineStr"/>
      <c r="M60" s="32" t="inlineStr"/>
    </row>
    <row r="61" ht="78" customHeight="1">
      <c r="A61" s="48" t="inlineStr">
        <is>
          <t>5-09</t>
        </is>
      </c>
      <c r="B61" s="49" t="inlineStr">
        <is>
          <t>MC4</t>
        </is>
      </c>
      <c r="C61" s="49" t="inlineStr">
        <is>
          <t>L2</t>
        </is>
      </c>
      <c r="D61" s="50" t="inlineStr">
        <is>
          <t>측정문항</t>
        </is>
      </c>
      <c r="E61" s="50" t="inlineStr">
        <is>
          <t>사후 M06P</t>
        </is>
      </c>
      <c r="F61" s="50" t="inlineStr">
        <is>
          <t>5회차</t>
        </is>
      </c>
      <c r="G61" s="50" t="inlineStr">
        <is>
          <t>사무실에서 책상이 흔들릴 정도의 지진을 느꼈다. 다음 중 가장 위험한 행동은?</t>
        </is>
      </c>
      <c r="H61" s="50" t="inlineStr">
        <is>
          <t>1. 탁자 아래로 들어가 머리를 감싼다
2. 진동이 멈춘 뒤 계단으로 대피한다
3. 대피 전 가스와 전기를 차단한다
4. 즉시 복도로 뛰어나가 엘리베이터를 탄다  ✔</t>
        </is>
      </c>
      <c r="I61" s="49" t="inlineStr">
        <is>
          <t>4번</t>
        </is>
      </c>
      <c r="J61" s="50" t="inlineStr">
        <is>
          <t>흔들리는 동안의 이동이 가장 위험하고, 엘리베이터는 정전 시 갇힙니다. 흔들릴 때 숨고, 멈추면 나갑니다.</t>
        </is>
      </c>
      <c r="K61" s="51" t="inlineStr"/>
      <c r="L61" s="31" t="inlineStr"/>
      <c r="M61" s="32" t="inlineStr"/>
    </row>
    <row r="62" ht="78" customHeight="1">
      <c r="A62" s="52" t="inlineStr">
        <is>
          <t>5-10</t>
        </is>
      </c>
      <c r="B62" s="34" t="inlineStr">
        <is>
          <t>MC4</t>
        </is>
      </c>
      <c r="C62" s="34" t="inlineStr">
        <is>
          <t>L2</t>
        </is>
      </c>
      <c r="D62" s="35" t="inlineStr">
        <is>
          <t>측정문항</t>
        </is>
      </c>
      <c r="E62" s="35" t="inlineStr">
        <is>
          <t>전이 T01</t>
        </is>
      </c>
      <c r="F62" s="35" t="inlineStr">
        <is>
          <t>5회차</t>
        </is>
      </c>
      <c r="G62" s="35" t="inlineStr">
        <is>
          <t>작업 중 옷에 불이 붙었다. 가장 올바른 대응은?</t>
        </is>
      </c>
      <c r="H62" s="35" t="inlineStr">
        <is>
          <t>1. 뛰어서 소화기를 가지러 간다
2. 그 자리에 멈추고 엎드려 바닥에서 뒹군다  ✔
3. 옷을 벗으려 시도한다
4. 물을 찾아 이동한다</t>
        </is>
      </c>
      <c r="I62" s="34" t="inlineStr">
        <is>
          <t>2번</t>
        </is>
      </c>
      <c r="J62" s="35" t="inlineStr">
        <is>
          <t>멈추고(Stop) · 엎드리고(Drop) · 굴러라(Roll). 뛰면 바람이 산소를 공급해 불이 커지고, 얼굴로 화염이 올라옵니다.</t>
        </is>
      </c>
      <c r="K62" s="36" t="inlineStr"/>
      <c r="L62" s="31" t="inlineStr"/>
      <c r="M62" s="32" t="inlineStr"/>
    </row>
    <row r="63" ht="78" customHeight="1">
      <c r="A63" s="48" t="inlineStr">
        <is>
          <t>5-11</t>
        </is>
      </c>
      <c r="B63" s="49" t="inlineStr">
        <is>
          <t>MC4</t>
        </is>
      </c>
      <c r="C63" s="49" t="inlineStr">
        <is>
          <t>L2</t>
        </is>
      </c>
      <c r="D63" s="50" t="inlineStr">
        <is>
          <t>측정문항</t>
        </is>
      </c>
      <c r="E63" s="50" t="inlineStr">
        <is>
          <t>전이 T02</t>
        </is>
      </c>
      <c r="F63" s="50" t="inlineStr">
        <is>
          <t>5회차</t>
        </is>
      </c>
      <c r="G63" s="50" t="inlineStr">
        <is>
          <t>대피 중 닫힌 문 앞에 도착했다. 문을 열기 전 반드시 확인해야 할 것은?</t>
        </is>
      </c>
      <c r="H63" s="50" t="inlineStr">
        <is>
          <t>1. 문이 잠겨 있는지
2. 손등으로 문과 손잡이가 뜨거운지  ✔
3. 문 재질이 목재인지
4. 문 번호</t>
        </is>
      </c>
      <c r="I63" s="49" t="inlineStr">
        <is>
          <t>2번</t>
        </is>
      </c>
      <c r="J63" s="50" t="inlineStr">
        <is>
          <t>문 반대편에 불이 있으면 문을 여는 순간 화염과 유독가스가 밀려듭니다. 뜨겁다면 열지 말고 다른 경로를 찾습니다. 손바닥이 아니라 손등으로 확인해야 화상 시에도 손을 쓸 수 있습니다.</t>
        </is>
      </c>
      <c r="K63" s="51" t="inlineStr"/>
      <c r="L63" s="31" t="inlineStr"/>
      <c r="M63" s="32" t="inlineStr"/>
    </row>
    <row r="64" ht="48" customHeight="1">
      <c r="A64" s="52" t="inlineStr">
        <is>
          <t>5-12</t>
        </is>
      </c>
      <c r="B64" s="34" t="inlineStr">
        <is>
          <t>OX</t>
        </is>
      </c>
      <c r="C64" s="34" t="inlineStr">
        <is>
          <t>L2</t>
        </is>
      </c>
      <c r="D64" s="35" t="inlineStr">
        <is>
          <t>안전 법령</t>
        </is>
      </c>
      <c r="E64" s="35" t="inlineStr">
        <is>
          <t>일반</t>
        </is>
      </c>
      <c r="F64" s="35" t="inlineStr">
        <is>
          <t>5회차</t>
        </is>
      </c>
      <c r="G64" s="35" t="inlineStr">
        <is>
          <t>급박한 위험이 있어 작업을 중지하고 대피한 근로자에게 사업주가 해고 등 불리한 처우를 하면 처벌 대상이 된다.</t>
        </is>
      </c>
      <c r="H64" s="35" t="inlineStr"/>
      <c r="I64" s="34" t="inlineStr">
        <is>
          <t>O</t>
        </is>
      </c>
      <c r="J64" s="35" t="inlineStr">
        <is>
          <t>작업중지권은 권리이고, 그 권리 행사를 이유로 한 불리한 처우는 금지됩니다.</t>
        </is>
      </c>
      <c r="K64" s="36" t="inlineStr">
        <is>
          <t>산안법 §52</t>
        </is>
      </c>
      <c r="L64" s="31" t="inlineStr"/>
      <c r="M64" s="32" t="inlineStr"/>
    </row>
    <row r="65" ht="78" customHeight="1">
      <c r="A65" s="48" t="inlineStr">
        <is>
          <t>6-01</t>
        </is>
      </c>
      <c r="B65" s="49" t="inlineStr">
        <is>
          <t>MC4</t>
        </is>
      </c>
      <c r="C65" s="49" t="inlineStr">
        <is>
          <t>L2</t>
        </is>
      </c>
      <c r="D65" s="50" t="inlineStr">
        <is>
          <t>측정문항</t>
        </is>
      </c>
      <c r="E65" s="50" t="inlineStr">
        <is>
          <t>앵커 A1</t>
        </is>
      </c>
      <c r="F65" s="50" t="inlineStr">
        <is>
          <t>6회차</t>
        </is>
      </c>
      <c r="G65" s="50" t="inlineStr">
        <is>
          <t>길에서 갑자기 쓰러진 사람을 발견했다. 가장 먼저 할 일은?</t>
        </is>
      </c>
      <c r="H65" s="50" t="inlineStr">
        <is>
          <t>1. 물을 먹인다
2. 몸을 흔들어 깨우며 뺨을 두드린다
3. 어깨를 두드려 반응과 호흡을 확인한다  ✔
4. 심장 마사지를 바로 시작한다</t>
        </is>
      </c>
      <c r="I65" s="49" t="inlineStr">
        <is>
          <t>3번</t>
        </is>
      </c>
      <c r="J65" s="50" t="inlineStr">
        <is>
          <t>반응·호흡 확인 → 119 및 AED 지목 요청 → 가슴압박. 30초 안에 이 순서를 밟는 것이 생존율을 좌우합니다. 6주 동안 가장 많이 나온 문제입니다. 이제 기억하실 겁니다.</t>
        </is>
      </c>
      <c r="K65" s="51" t="inlineStr"/>
      <c r="L65" s="31" t="inlineStr"/>
      <c r="M65" s="32" t="inlineStr"/>
    </row>
    <row r="66" ht="48" customHeight="1">
      <c r="A66" s="52" t="inlineStr">
        <is>
          <t>6-02</t>
        </is>
      </c>
      <c r="B66" s="34" t="inlineStr">
        <is>
          <t>OX</t>
        </is>
      </c>
      <c r="C66" s="34" t="inlineStr">
        <is>
          <t>L1</t>
        </is>
      </c>
      <c r="D66" s="35" t="inlineStr">
        <is>
          <t>측정문항</t>
        </is>
      </c>
      <c r="E66" s="35" t="inlineStr">
        <is>
          <t>앵커 A2</t>
        </is>
      </c>
      <c r="F66" s="35" t="inlineStr">
        <is>
          <t>6회차</t>
        </is>
      </c>
      <c r="G66" s="35" t="inlineStr">
        <is>
          <t>6주 동안 위험요인을 한 번도 신고하지 않았다면, 우리 주변에 위험이 하나도 없었다는 뜻이다.</t>
        </is>
      </c>
      <c r="H66" s="35" t="inlineStr"/>
      <c r="I66" s="34" t="inlineStr">
        <is>
          <t>X</t>
        </is>
      </c>
      <c r="J66" s="35" t="inlineStr">
        <is>
          <t>위험이 없는 것이 아니라 보이지 않았을 뿐입니다. 「안전이 보인다」의 목표가 바로 보이게 만드는 것입니다. 이번 주에 하나만 찾아 신고해 보십시오.</t>
        </is>
      </c>
      <c r="K66" s="36" t="inlineStr"/>
      <c r="L66" s="31" t="inlineStr"/>
      <c r="M66" s="32" t="inlineStr"/>
    </row>
    <row r="67" ht="78" customHeight="1">
      <c r="A67" s="48" t="inlineStr">
        <is>
          <t>6-03</t>
        </is>
      </c>
      <c r="B67" s="49" t="inlineStr">
        <is>
          <t>MC4</t>
        </is>
      </c>
      <c r="C67" s="49" t="inlineStr">
        <is>
          <t>L2</t>
        </is>
      </c>
      <c r="D67" s="50" t="inlineStr">
        <is>
          <t>안전 법령</t>
        </is>
      </c>
      <c r="E67" s="50" t="inlineStr">
        <is>
          <t>일반</t>
        </is>
      </c>
      <c r="F67" s="50" t="inlineStr">
        <is>
          <t>6회차</t>
        </is>
      </c>
      <c r="G67" s="50" t="inlineStr">
        <is>
          <t>중대재해처벌법상 '중대산업재해'에 해당하지 않는 것은?</t>
        </is>
      </c>
      <c r="H67" s="50" t="inlineStr">
        <is>
          <t>1. 사망자 1명 발생
2. 동일 사고로 6개월 이상 치료가 필요한 부상자 2명 발생
3. 동일 유해요인으로 1년 내 직업성 질병자 3명 발생
4. 재산 피해 10억원 발생  ✔</t>
        </is>
      </c>
      <c r="I67" s="49" t="inlineStr">
        <is>
          <t>4번</t>
        </is>
      </c>
      <c r="J67" s="50" t="inlineStr">
        <is>
          <t>중대산업재해는 사람에 대한 기준만으로 정의됩니다. 재산 피해는 요건이 아닙니다.</t>
        </is>
      </c>
      <c r="K67" s="51" t="inlineStr">
        <is>
          <t>중대재해처벌법 §2 제2호</t>
        </is>
      </c>
      <c r="L67" s="31" t="inlineStr"/>
      <c r="M67" s="32" t="inlineStr"/>
    </row>
    <row r="68" ht="78" customHeight="1">
      <c r="A68" s="52" t="inlineStr">
        <is>
          <t>6-04</t>
        </is>
      </c>
      <c r="B68" s="34" t="inlineStr">
        <is>
          <t>MC4</t>
        </is>
      </c>
      <c r="C68" s="34" t="inlineStr">
        <is>
          <t>L2</t>
        </is>
      </c>
      <c r="D68" s="35" t="inlineStr">
        <is>
          <t>측정문항</t>
        </is>
      </c>
      <c r="E68" s="35" t="inlineStr">
        <is>
          <t>사후 M07P</t>
        </is>
      </c>
      <c r="F68" s="35" t="inlineStr">
        <is>
          <t>6회차</t>
        </is>
      </c>
      <c r="G68" s="35" t="inlineStr">
        <is>
          <t>우리 사무실 사고 위험을 낮추기 위해 가장 먼저 손봐야 할 곳은?</t>
        </is>
      </c>
      <c r="H68" s="35" t="inlineStr">
        <is>
          <t>1. 소화기 위치 안내판
2. 안전 표어 게시판
3. 비 오는 날 물기가 고이는 출입구 바닥과 통로에 늘어진 전선  ✔
4. 비상연락망</t>
        </is>
      </c>
      <c r="I68" s="34" t="inlineStr">
        <is>
          <t>3번</t>
        </is>
      </c>
      <c r="J68" s="35" t="inlineStr">
        <is>
          <t>사무직에서 가장 많이 발생하는 사고는 넘어짐입니다. 확률이 가장 높은 위험부터 없애는 것이 순서입니다.</t>
        </is>
      </c>
      <c r="K68" s="36" t="inlineStr"/>
      <c r="L68" s="31" t="inlineStr"/>
      <c r="M68" s="32" t="inlineStr"/>
    </row>
    <row r="69" ht="78" customHeight="1">
      <c r="A69" s="48" t="inlineStr">
        <is>
          <t>6-05</t>
        </is>
      </c>
      <c r="B69" s="49" t="inlineStr">
        <is>
          <t>MC4</t>
        </is>
      </c>
      <c r="C69" s="49" t="inlineStr">
        <is>
          <t>L1</t>
        </is>
      </c>
      <c r="D69" s="50" t="inlineStr">
        <is>
          <t>측정문항</t>
        </is>
      </c>
      <c r="E69" s="50" t="inlineStr">
        <is>
          <t>사후 M08P</t>
        </is>
      </c>
      <c r="F69" s="50" t="inlineStr">
        <is>
          <t>6회차</t>
        </is>
      </c>
      <c r="G69" s="50" t="inlineStr">
        <is>
          <t>다음 중 화재 위험이 가장 큰 상태는?</t>
        </is>
      </c>
      <c r="H69" s="50" t="inlineStr">
        <is>
          <t>1. 멀티탭 하나에 노트북과 모니터를 꽂아 쓴다
2. 멀티탭에 다른 멀티탭을 연결하고 먼지가 쌓인 채 책상 뒤에 방치한다  ✔
3. 사용하지 않는 플러그를 뽑아둔다
4. 정격용량을 확인하고 사용한다</t>
        </is>
      </c>
      <c r="I69" s="49" t="inlineStr">
        <is>
          <t>2번</t>
        </is>
      </c>
      <c r="J69" s="50" t="inlineStr">
        <is>
          <t>멀티탭 직렬 연결(과부하) + 먼지·습기(트래킹) + 보이지 않는 위치(발견 지연)가 겹친 최악의 조합입니다.</t>
        </is>
      </c>
      <c r="K69" s="51" t="inlineStr"/>
      <c r="L69" s="31" t="inlineStr"/>
      <c r="M69" s="32" t="inlineStr"/>
    </row>
    <row r="70" ht="78" customHeight="1">
      <c r="A70" s="52" t="inlineStr">
        <is>
          <t>6-06</t>
        </is>
      </c>
      <c r="B70" s="34" t="inlineStr">
        <is>
          <t>MC4</t>
        </is>
      </c>
      <c r="C70" s="34" t="inlineStr">
        <is>
          <t>L2</t>
        </is>
      </c>
      <c r="D70" s="35" t="inlineStr">
        <is>
          <t>측정문항</t>
        </is>
      </c>
      <c r="E70" s="35" t="inlineStr">
        <is>
          <t>사후 M09P</t>
        </is>
      </c>
      <c r="F70" s="35" t="inlineStr">
        <is>
          <t>6회차</t>
        </is>
      </c>
      <c r="G70" s="35" t="inlineStr">
        <is>
          <t>노트북만으로 하루 8시간 일하는 직원의 목·어깨 통증을 줄이는 가장 효과적인 개선은?</t>
        </is>
      </c>
      <c r="H70" s="35" t="inlineStr">
        <is>
          <t>1. 의자 높이를 낮춘다
2. 노트북을 받침대로 올려 화면을 눈높이 약간 아래로 맞추고 별도 키보드를 사용한다  ✔
3. 화면 밝기를 높인다
4. 글자 크기를 키운다</t>
        </is>
      </c>
      <c r="I70" s="34" t="inlineStr">
        <is>
          <t>2번</t>
        </is>
      </c>
      <c r="J70" s="35" t="inlineStr">
        <is>
          <t>노트북은 화면과 키보드가 붙어 있어 둘 중 하나는 반드시 나쁜 자세가 됩니다. 분리하는 것이 유일한 근본 해결책입니다.</t>
        </is>
      </c>
      <c r="K70" s="36" t="inlineStr"/>
      <c r="L70" s="31" t="inlineStr"/>
      <c r="M70" s="32" t="inlineStr"/>
    </row>
    <row r="71" ht="78" customHeight="1">
      <c r="A71" s="48" t="inlineStr">
        <is>
          <t>6-07</t>
        </is>
      </c>
      <c r="B71" s="49" t="inlineStr">
        <is>
          <t>MC4</t>
        </is>
      </c>
      <c r="C71" s="49" t="inlineStr">
        <is>
          <t>L3</t>
        </is>
      </c>
      <c r="D71" s="50" t="inlineStr">
        <is>
          <t>측정문항</t>
        </is>
      </c>
      <c r="E71" s="50" t="inlineStr">
        <is>
          <t>사후 M10P</t>
        </is>
      </c>
      <c r="F71" s="50" t="inlineStr">
        <is>
          <t>6회차</t>
        </is>
      </c>
      <c r="G71" s="50" t="inlineStr">
        <is>
          <t>부서에 새로운 작업 설비를 도입해 직원들의 작업 자세가 크게 바뀌었다. 근골격계 유해요인조사는 언제 실시해야 하는가?</t>
        </is>
      </c>
      <c r="H71" s="50" t="inlineStr">
        <is>
          <t>1. 다음 정기조사 시점까지 기다린다
2. 3년 후에 실시한다
3. 정기조사 주기와 무관하게 1개월 이내에 실시한다  ✔
4. 통증 호소자가 나오면 실시한다</t>
        </is>
      </c>
      <c r="I71" s="49" t="inlineStr">
        <is>
          <t>3번</t>
        </is>
      </c>
      <c r="J71" s="50" t="inlineStr">
        <is>
          <t>정기조사는 3년마다 실시하지만, 새로운 작업·설비 도입이나 작업환경 변경 등 사유가 발생하면 1개월 이내에 실시해야 합니다.</t>
        </is>
      </c>
      <c r="K71" s="51" t="inlineStr">
        <is>
          <t>안전보건규칙 §657</t>
        </is>
      </c>
      <c r="L71" s="31" t="inlineStr"/>
      <c r="M71" s="32" t="inlineStr"/>
    </row>
    <row r="72" ht="78" customHeight="1">
      <c r="A72" s="52" t="inlineStr">
        <is>
          <t>6-08</t>
        </is>
      </c>
      <c r="B72" s="34" t="inlineStr">
        <is>
          <t>MC4</t>
        </is>
      </c>
      <c r="C72" s="34" t="inlineStr">
        <is>
          <t>L2</t>
        </is>
      </c>
      <c r="D72" s="35" t="inlineStr">
        <is>
          <t>측정문항</t>
        </is>
      </c>
      <c r="E72" s="35" t="inlineStr">
        <is>
          <t>사후 M11P</t>
        </is>
      </c>
      <c r="F72" s="35" t="inlineStr">
        <is>
          <t>6회차</t>
        </is>
      </c>
      <c r="G72" s="35" t="inlineStr">
        <is>
          <t>우리 부서 위험성평가를 실시할 때 반드시 참여해야 하는 사람은?</t>
        </is>
      </c>
      <c r="H72" s="35" t="inlineStr">
        <is>
          <t>1. 안전 담당 부서 직원만
2. 부서장만
3. 해당 작업을 실제로 수행하는 직원  ✔
4. 외부 전문기관만</t>
        </is>
      </c>
      <c r="I72" s="34" t="inlineStr">
        <is>
          <t>3번</t>
        </is>
      </c>
      <c r="J72" s="35" t="inlineStr">
        <is>
          <t>법이 근로자 참여를 의무화한 이유는 그 일을 하는 사람만 아는 위험이 있기 때문입니다. 서류상 평가는 위험을 못 찾습니다.</t>
        </is>
      </c>
      <c r="K72" s="36" t="inlineStr">
        <is>
          <t>산안법 §36④</t>
        </is>
      </c>
      <c r="L72" s="31" t="inlineStr"/>
      <c r="M72" s="32" t="inlineStr"/>
    </row>
    <row r="73" ht="78" customHeight="1">
      <c r="A73" s="48" t="inlineStr">
        <is>
          <t>6-09</t>
        </is>
      </c>
      <c r="B73" s="49" t="inlineStr">
        <is>
          <t>MC4</t>
        </is>
      </c>
      <c r="C73" s="49" t="inlineStr">
        <is>
          <t>L2</t>
        </is>
      </c>
      <c r="D73" s="50" t="inlineStr">
        <is>
          <t>측정문항</t>
        </is>
      </c>
      <c r="E73" s="50" t="inlineStr">
        <is>
          <t>사후 M12P</t>
        </is>
      </c>
      <c r="F73" s="50" t="inlineStr">
        <is>
          <t>6회차</t>
        </is>
      </c>
      <c r="G73" s="50" t="inlineStr">
        <is>
          <t>작업 중 천장에서 물이 새 바닥에 고이고 배전반 근처까지 번지고 있다. 가장 적절한 행동은?</t>
        </is>
      </c>
      <c r="H73" s="50" t="inlineStr">
        <is>
          <t>1. 상급자 지시를 기다린다
2. 걸레로 닦으며 작업을 계속한다
3. 작업을 중지하고 대피한 뒤 즉시 보고한다  ✔
4. 퇴근 후 보고한다</t>
        </is>
      </c>
      <c r="I73" s="49" t="inlineStr">
        <is>
          <t>3번</t>
        </is>
      </c>
      <c r="J73" s="50" t="inlineStr">
        <is>
          <t>감전 위험이 급박한 상황입니다. 근로자는 스스로 작업을 중지하고 대피할 수 있으며, 이를 이유로 불리한 처우를 받지 않습니다.</t>
        </is>
      </c>
      <c r="K73" s="51" t="inlineStr">
        <is>
          <t>산안법 §52</t>
        </is>
      </c>
      <c r="L73" s="31" t="inlineStr"/>
      <c r="M73" s="32" t="inlineStr"/>
    </row>
    <row r="74" ht="78" customHeight="1">
      <c r="A74" s="52" t="inlineStr">
        <is>
          <t>6-10</t>
        </is>
      </c>
      <c r="B74" s="34" t="inlineStr">
        <is>
          <t>MC4</t>
        </is>
      </c>
      <c r="C74" s="34" t="inlineStr">
        <is>
          <t>L2</t>
        </is>
      </c>
      <c r="D74" s="35" t="inlineStr">
        <is>
          <t>측정문항</t>
        </is>
      </c>
      <c r="E74" s="35" t="inlineStr">
        <is>
          <t>전이 T03</t>
        </is>
      </c>
      <c r="F74" s="35" t="inlineStr">
        <is>
          <t>6회차</t>
        </is>
      </c>
      <c r="G74" s="35" t="inlineStr">
        <is>
          <t>동료가 전기 작업 중 감전되어 쓰러졌고 아직 전선을 잡고 있다. 가장 먼저 할 일은?</t>
        </is>
      </c>
      <c r="H74" s="35" t="inlineStr">
        <is>
          <t>1. 손으로 동료를 끌어낸다
2. 물을 뿌려 식힌다
3. 전원을 차단하거나 마른 절연물로 전선을 떼어낸다  ✔
4. 심폐소생술을 바로 시작한다</t>
        </is>
      </c>
      <c r="I74" s="34" t="inlineStr">
        <is>
          <t>3번</t>
        </is>
      </c>
      <c r="J74" s="35" t="inlineStr">
        <is>
          <t>통전 중인 사람을 맨손으로 만지면 구조자도 감전됩니다. 전원 차단이 언제나 1순위이고, 그다음이 119와 심폐소생술입니다.</t>
        </is>
      </c>
      <c r="K74" s="36" t="inlineStr"/>
      <c r="L74" s="31" t="inlineStr"/>
      <c r="M74" s="32" t="inlineStr"/>
    </row>
    <row r="75" ht="78" customHeight="1">
      <c r="A75" s="48" t="inlineStr">
        <is>
          <t>6-11</t>
        </is>
      </c>
      <c r="B75" s="49" t="inlineStr">
        <is>
          <t>MC4</t>
        </is>
      </c>
      <c r="C75" s="49" t="inlineStr">
        <is>
          <t>L3</t>
        </is>
      </c>
      <c r="D75" s="50" t="inlineStr">
        <is>
          <t>측정문항</t>
        </is>
      </c>
      <c r="E75" s="50" t="inlineStr">
        <is>
          <t>전이 T04</t>
        </is>
      </c>
      <c r="F75" s="50" t="inlineStr">
        <is>
          <t>6회차</t>
        </is>
      </c>
      <c r="G75" s="50" t="inlineStr">
        <is>
          <t>3일 이상의 휴업이 필요한 산업재해가 발생했을 때 사업주의 보고 의무는?</t>
        </is>
      </c>
      <c r="H75" s="50" t="inlineStr">
        <is>
          <t>1. 보고 의무 없음
2. 즉시 전화 보고
3. 발생일로부터 1개월 이내 산업재해조사표 제출  ✔
4. 연 1회 일괄 보고</t>
        </is>
      </c>
      <c r="I75" s="49" t="inlineStr">
        <is>
          <t>3번</t>
        </is>
      </c>
      <c r="J75" s="50" t="inlineStr">
        <is>
          <t>사망 또는 3일 이상 휴업이 필요한 재해는 발생일부터 1개월 이내에 산업재해조사표를 제출합니다. 중대재해는 별도로 알게 된 즉시 보고해야 하므로 두 절차를 혼동하지 마십시오.</t>
        </is>
      </c>
      <c r="K75" s="51" t="inlineStr">
        <is>
          <t>산업안전보건법 시행규칙 §73·산안법 §54·§57</t>
        </is>
      </c>
      <c r="L75" s="31" t="inlineStr"/>
      <c r="M75" s="32" t="inlineStr"/>
    </row>
    <row r="76" ht="48" customHeight="1">
      <c r="A76" s="52" t="inlineStr">
        <is>
          <t>6-12</t>
        </is>
      </c>
      <c r="B76" s="34" t="inlineStr">
        <is>
          <t>OX</t>
        </is>
      </c>
      <c r="C76" s="34" t="inlineStr">
        <is>
          <t>L1</t>
        </is>
      </c>
      <c r="D76" s="35" t="inlineStr">
        <is>
          <t>생활안전</t>
        </is>
      </c>
      <c r="E76" s="35" t="inlineStr">
        <is>
          <t>일반</t>
        </is>
      </c>
      <c r="F76" s="35" t="inlineStr">
        <is>
          <t>6회차</t>
        </is>
      </c>
      <c r="G76" s="35" t="inlineStr">
        <is>
          <t>일산화탄소는 냄새가 없어 새고 있어도 알아채기 어렵다.</t>
        </is>
      </c>
      <c r="H76" s="35" t="inlineStr"/>
      <c r="I76" s="34" t="inlineStr">
        <is>
          <t>O</t>
        </is>
      </c>
      <c r="J76" s="35" t="inlineStr">
        <is>
          <t>무색·무취여서 자각 증상 없이 의식을 잃습니다. 보일러 배기관 이탈, 텐트 내 난방기구, 차량 배기가스 유입이 주요 사고 경로입니다. 6주간 함께해 주셔서 감사합니다 — 안전 이룸, 함께 해냄.</t>
        </is>
      </c>
      <c r="K76" s="36" t="inlineStr"/>
      <c r="L76" s="31" t="inlineStr"/>
      <c r="M76" s="32" t="inlineStr"/>
    </row>
  </sheetData>
  <autoFilter ref="A4:M76"/>
  <dataValidations count="1">
    <dataValidation sqref="L5:L76" showDropDown="0" showInputMessage="0" showErrorMessage="0" allowBlank="1" type="list">
      <formula1>"채택,보류,제외"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2026-08-19T05:05:00Z</dcterms:created>
  <dcterms:modified xmlns:dcterms="http://purl.org/dc/terms/" xmlns:xsi="http://www.w3.org/2001/XMLSchema-instance" xsi:type="dcterms:W3CDTF">2026-08-19T05:05:01Z</dcterms:modified>
</cp:coreProperties>
</file>